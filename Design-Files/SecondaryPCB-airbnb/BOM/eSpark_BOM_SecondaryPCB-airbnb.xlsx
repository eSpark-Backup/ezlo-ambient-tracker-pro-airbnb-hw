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zlo-ambienttrackerpro-airbnb-hardware\Design-Files\SecondaryPCB-airbnb\BOM\"/>
    </mc:Choice>
  </mc:AlternateContent>
  <bookViews>
    <workbookView xWindow="28680" yWindow="-120" windowWidth="29040" windowHeight="15840" activeTab="1"/>
  </bookViews>
  <sheets>
    <sheet name="5 Boards" sheetId="1" r:id="rId1"/>
    <sheet name="10 Boards" sheetId="2" r:id="rId2"/>
  </sheets>
  <calcPr calcId="162913"/>
</workbook>
</file>

<file path=xl/calcChain.xml><?xml version="1.0" encoding="utf-8"?>
<calcChain xmlns="http://schemas.openxmlformats.org/spreadsheetml/2006/main">
  <c r="M26" i="2" l="1"/>
  <c r="M27" i="2"/>
  <c r="Q27" i="2"/>
  <c r="B27" i="2"/>
  <c r="Q26" i="2"/>
  <c r="B26" i="2"/>
  <c r="Q27" i="1"/>
  <c r="Q28" i="1"/>
  <c r="M27" i="1"/>
  <c r="Q26" i="1"/>
  <c r="M26" i="1"/>
  <c r="B26" i="1"/>
  <c r="B27" i="1"/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10" i="2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29" i="1" l="1"/>
  <c r="Q25" i="2" l="1"/>
  <c r="B25" i="2"/>
  <c r="Q24" i="2"/>
  <c r="B24" i="2"/>
  <c r="Q23" i="2"/>
  <c r="B23" i="2"/>
  <c r="Q22" i="2"/>
  <c r="B22" i="2"/>
  <c r="Q21" i="2"/>
  <c r="B21" i="2"/>
  <c r="Q20" i="2"/>
  <c r="B20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28" i="2" l="1"/>
  <c r="Q29" i="2" s="1"/>
</calcChain>
</file>

<file path=xl/sharedStrings.xml><?xml version="1.0" encoding="utf-8"?>
<sst xmlns="http://schemas.openxmlformats.org/spreadsheetml/2006/main" count="416" uniqueCount="145">
  <si>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</si>
  <si>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</si>
  <si>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</si>
  <si>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</si>
  <si>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</si>
  <si>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</si>
  <si>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</si>
  <si>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</si>
  <si>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</si>
  <si>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</si>
  <si>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Ferrite Bead</t>
  </si>
  <si>
    <t>FPC Connector</t>
  </si>
  <si>
    <t>RGB LED</t>
  </si>
  <si>
    <t>TEST POINT</t>
  </si>
  <si>
    <t>Resistor</t>
  </si>
  <si>
    <t>IC</t>
  </si>
  <si>
    <t>Ambient Light Sensor</t>
  </si>
  <si>
    <t>Microphone</t>
  </si>
  <si>
    <t>Crystal</t>
  </si>
  <si>
    <t>Designator</t>
  </si>
  <si>
    <t>C1, C3, C6, C7, C9, C16, C17, C18, C23, C25, C27, C29, C31</t>
  </si>
  <si>
    <t>C2</t>
  </si>
  <si>
    <t>C4, C19</t>
  </si>
  <si>
    <t>C8, C20, C22, C24</t>
  </si>
  <si>
    <t>C10</t>
  </si>
  <si>
    <t>FB1, FB2, FB3, FB4, FB5, FB6, FB7</t>
  </si>
  <si>
    <t>J1</t>
  </si>
  <si>
    <t>LED1, LED2, LED3, LED4, LED5</t>
  </si>
  <si>
    <t>P1</t>
  </si>
  <si>
    <t>R2</t>
  </si>
  <si>
    <t>U1</t>
  </si>
  <si>
    <t>U2</t>
  </si>
  <si>
    <t>U3, U4, U5, U6</t>
  </si>
  <si>
    <t>X1</t>
  </si>
  <si>
    <t>Description</t>
  </si>
  <si>
    <t>CAP CER 1UF 10V X5R 0402</t>
  </si>
  <si>
    <t>CAP CER 0.47UF 50V X5R 0402</t>
  </si>
  <si>
    <t>CAP CER 22UF 10V X5R 0603</t>
  </si>
  <si>
    <t>CAP CER 10UF 10V X5R 0402</t>
  </si>
  <si>
    <t>CAP CER 10000PF 25V X7R 0402</t>
  </si>
  <si>
    <t>CAP CER 0.1UF 10V X5R 0402</t>
  </si>
  <si>
    <t>FERRITE BEAD 120 OHM 0402 1LN</t>
  </si>
  <si>
    <t>Clamshell 20P Bottom Contact Surface Mount 0.5mm SMD,P=0.5mm FFC/FPC Connectors ROHS</t>
  </si>
  <si>
    <t>5mA -40℃~+80℃ RGB SMD,2x2mm Light Emitting Diodes (LED) ROHS</t>
  </si>
  <si>
    <t>Test Point ON</t>
  </si>
  <si>
    <t>RES SMD 150 OHM 5% 1/10W 0402</t>
  </si>
  <si>
    <t>RES SMD 10K Ohm 1% 1/10W 0603</t>
  </si>
  <si>
    <t>Rf Transceiver PG-VF2BGA-40</t>
  </si>
  <si>
    <t>SENSOR OPT AMBIENT 6DFN</t>
  </si>
  <si>
    <t>MIC MEMS DIGITAL PDM OMNI -26DB</t>
  </si>
  <si>
    <t>XTAL OSC XO 80.0000MHZ CMOS SMD</t>
  </si>
  <si>
    <t>Footprint</t>
  </si>
  <si>
    <t>Cap-0402</t>
  </si>
  <si>
    <t>Cap-0603</t>
  </si>
  <si>
    <t>IND-0402</t>
  </si>
  <si>
    <t>AFC01-S20FCC-00</t>
  </si>
  <si>
    <t>SK6812-EC20</t>
  </si>
  <si>
    <t>Test-point</t>
  </si>
  <si>
    <t>Res-0402</t>
  </si>
  <si>
    <t>Res-0603</t>
  </si>
  <si>
    <t>pg-vf2bga-40</t>
  </si>
  <si>
    <t>6-Pin ChipLED</t>
  </si>
  <si>
    <t>MP34DT06JTR</t>
  </si>
  <si>
    <t>Manufacturer Part Number</t>
  </si>
  <si>
    <t>CC0402KRX5R6BB105</t>
  </si>
  <si>
    <t>UMK105ABJ474KV-F</t>
  </si>
  <si>
    <t>CC0603MRX5R6BB226</t>
  </si>
  <si>
    <t>CL05A106MP5NUNC</t>
  </si>
  <si>
    <t>CC0402KRX7R8BB103</t>
  </si>
  <si>
    <t>CC0402KRX5R6BB104</t>
  </si>
  <si>
    <t>BLM15PD121SN1D</t>
  </si>
  <si>
    <t>ERJ-2GEJ151X</t>
  </si>
  <si>
    <t>RC0603FR-0710KL</t>
  </si>
  <si>
    <t>BGT60TR13CE6327XUMA1</t>
  </si>
  <si>
    <t>LTR-303ALS-01</t>
  </si>
  <si>
    <t>KC2016K80.0000C1GE00</t>
  </si>
  <si>
    <t>Manufacturer</t>
  </si>
  <si>
    <t>Yageo</t>
  </si>
  <si>
    <t>Taiyo Yuden</t>
  </si>
  <si>
    <t>Samsung</t>
  </si>
  <si>
    <t>Murata</t>
  </si>
  <si>
    <t>JUSHUO</t>
  </si>
  <si>
    <t>OPSCO Optoelectronics</t>
  </si>
  <si>
    <t>Panasonic</t>
  </si>
  <si>
    <t>Infineon</t>
  </si>
  <si>
    <t>Vishay Lite-On</t>
  </si>
  <si>
    <t>STMicroelectronics</t>
  </si>
  <si>
    <t>Kyocera AVX</t>
  </si>
  <si>
    <t>LCSC Part Number</t>
  </si>
  <si>
    <t>C106254</t>
  </si>
  <si>
    <t>C386109</t>
  </si>
  <si>
    <t>C109447</t>
  </si>
  <si>
    <t>C315248</t>
  </si>
  <si>
    <t>C327025</t>
  </si>
  <si>
    <t>C129131</t>
  </si>
  <si>
    <t>C76891</t>
  </si>
  <si>
    <t>C262274</t>
  </si>
  <si>
    <t>C2909058</t>
  </si>
  <si>
    <t>C412976</t>
  </si>
  <si>
    <t>C98220</t>
  </si>
  <si>
    <t>C364577</t>
  </si>
  <si>
    <t>C503097</t>
  </si>
  <si>
    <t>C1988243</t>
  </si>
  <si>
    <t>1uF</t>
  </si>
  <si>
    <t>0.47uF</t>
  </si>
  <si>
    <t>22uF</t>
  </si>
  <si>
    <t>0.1uF</t>
  </si>
  <si>
    <t>10uF</t>
  </si>
  <si>
    <t>10nF</t>
  </si>
  <si>
    <t>100MHz</t>
  </si>
  <si>
    <t>10K</t>
  </si>
  <si>
    <t>150R</t>
  </si>
  <si>
    <t>80MHz</t>
  </si>
  <si>
    <t>Quantity</t>
  </si>
  <si>
    <t>Bill of Materials for Project [SecondaryPCB-airbnb]</t>
  </si>
  <si>
    <t>SecondaryPCB-airbnb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</si>
  <si>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</si>
  <si>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</si>
  <si>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</si>
  <si>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</si>
  <si>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</si>
  <si>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</si>
  <si>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</si>
  <si>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</si>
  <si>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</si>
  <si>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Custom</t>
  </si>
  <si>
    <t>LCSC</t>
  </si>
  <si>
    <t>-</t>
  </si>
  <si>
    <t>C5, C11, C12, C13, C14, C15, C21,C26, C28, C30, C32</t>
  </si>
  <si>
    <t>R1, R3, R4, R5, R6</t>
  </si>
  <si>
    <t>MOQ (10 Boards)</t>
  </si>
  <si>
    <t>Quantity (10 Boards)</t>
  </si>
  <si>
    <t>Total Cost (10 Boards)</t>
  </si>
  <si>
    <t>Unit Cost (10 Boards)</t>
  </si>
  <si>
    <t>Peripheral</t>
  </si>
  <si>
    <t>FFCE2008T108000-300</t>
  </si>
  <si>
    <t>0.3mm~0.3mm 20 0.5mm Same Side 8cm P=0.5mm FFC/FPC Connect Cables ROHS</t>
  </si>
  <si>
    <t xml:space="preserve">Cvilux </t>
  </si>
  <si>
    <t>C918683</t>
  </si>
  <si>
    <t>JS05A-20P-050-4-8</t>
  </si>
  <si>
    <t>0.3mm~0.3mm 20 0.5mm Same Side 5cm P=0.5mm FFC/FPC Connect Cables ROHS</t>
  </si>
  <si>
    <t xml:space="preserve">Ribbon Cable 80mm </t>
  </si>
  <si>
    <t>Ribbon Cable 50mm</t>
  </si>
  <si>
    <t xml:space="preserve">JUSHUO </t>
  </si>
  <si>
    <t>C2857502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</si>
</sst>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4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/>
    <xf numFmtId="0" fontId="11" fillId="4" borderId="17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0" fillId="0" borderId="0" xfId="0" applyAlignment="1"/>
    <xf numFmtId="0" fontId="11" fillId="4" borderId="16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/>
    </xf>
    <xf numFmtId="0" fontId="22" fillId="2" borderId="17" xfId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 wrapText="1"/>
    </xf>
    <xf numFmtId="165" fontId="23" fillId="2" borderId="17" xfId="0" applyNumberFormat="1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5492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EMS-Microphones_STMicroelectronics-MP34DT06JTR_C503097.html" TargetMode="External"/><Relationship Id="rId13" Type="http://schemas.openxmlformats.org/officeDocument/2006/relationships/hyperlink" Target="https://www.lcsc.com/product-detail/Multilayer-Ceramic-Capacitors-MLCC-SMD-SMT_YAGEO-CC0402KRX7R8BB103_C327025.html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lcsc.com/product-detail/Multilayer-Ceramic-Capacitors-MLCC-SMD-SMT_YAGEO-CC0402KRX5R6BB104_C129131.html" TargetMode="External"/><Relationship Id="rId7" Type="http://schemas.openxmlformats.org/officeDocument/2006/relationships/hyperlink" Target="https://www.lcsc.com/product-detail/Ambient-Light-Sensors_Lite-On-LTR-303ALS-01_C364577.html" TargetMode="External"/><Relationship Id="rId12" Type="http://schemas.openxmlformats.org/officeDocument/2006/relationships/hyperlink" Target="https://www.lcsc.com/product-detail/Multilayer-Ceramic-Capacitors-MLCC-SMD-SMT_Samsung-Electro-Mechanics-CL05A106MP5NUNC_C315248.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YAGEO-CC0603MRX5R6BB226_C109447.html" TargetMode="External"/><Relationship Id="rId16" Type="http://schemas.openxmlformats.org/officeDocument/2006/relationships/hyperlink" Target="https://www.lcsc.com/product-detail/FFC-FPC-Connect-Cables_JUSHUO-JS05A-20P-050-4-8_C2857502.html" TargetMode="External"/><Relationship Id="rId1" Type="http://schemas.openxmlformats.org/officeDocument/2006/relationships/hyperlink" Target="https://www.lcsc.com/product-detail/Multilayer-Ceramic-Capacitors-MLCC-SMD-SMT_YAGEO-CC0402KRX5R6BB105_C106254.html" TargetMode="External"/><Relationship Id="rId6" Type="http://schemas.openxmlformats.org/officeDocument/2006/relationships/hyperlink" Target="https://www.lcsc.com/product-detail/Chip-Resistor-Surface-Mount_YAGEO-RC0603FR-0710KL_C98220.html" TargetMode="External"/><Relationship Id="rId11" Type="http://schemas.openxmlformats.org/officeDocument/2006/relationships/hyperlink" Target="https://www.lcsc.com/product-detail/Multilayer-Ceramic-Capacitors-MLCC-SMD-SMT_Taiyo-Yuden-UMK105ABJ474KV-F_C386109.html" TargetMode="External"/><Relationship Id="rId5" Type="http://schemas.openxmlformats.org/officeDocument/2006/relationships/hyperlink" Target="https://www.lcsc.com/product-detail/FFC-FPC-Connectors_JUSHUO-AFC01-S20FCC-00_C262274.html" TargetMode="External"/><Relationship Id="rId15" Type="http://schemas.openxmlformats.org/officeDocument/2006/relationships/hyperlink" Target="https://www.lcsc.com/product-detail/FFC-FPC-Connect-Cables_Cvilux-FFCE2008T108000-300_C918683.html" TargetMode="External"/><Relationship Id="rId10" Type="http://schemas.openxmlformats.org/officeDocument/2006/relationships/hyperlink" Target="https://www.lcsc.com/product-detail/Light-Emitting-Diodes-LED_OPSCO-Optoelectronics-SK6812-EC20_C2909058.html" TargetMode="External"/><Relationship Id="rId4" Type="http://schemas.openxmlformats.org/officeDocument/2006/relationships/hyperlink" Target="https://www.lcsc.com/product-detail/Ferrite-Beads_Murata-Electronics-BLM15PD121SN1D_C76891.html" TargetMode="External"/><Relationship Id="rId9" Type="http://schemas.openxmlformats.org/officeDocument/2006/relationships/hyperlink" Target="https://www.lcsc.com/product-detail/Oscillators_Kyocera-AVX-KC2016K80-0000C1GE00_C1988243.html" TargetMode="External"/><Relationship Id="rId14" Type="http://schemas.openxmlformats.org/officeDocument/2006/relationships/hyperlink" Target="https://www.lcsc.com/product-detail/Chip-Resistor-Surface-Mount_PANASONIC-ERJ2GEJ151X_C412976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EMS-Microphones_STMicroelectronics-MP34DT06JTR_C503097.html" TargetMode="External"/><Relationship Id="rId13" Type="http://schemas.openxmlformats.org/officeDocument/2006/relationships/hyperlink" Target="https://www.lcsc.com/product-detail/Multilayer-Ceramic-Capacitors-MLCC-SMD-SMT_YAGEO-CC0402KRX7R8BB103_C327025.html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https://www.lcsc.com/product-detail/Multilayer-Ceramic-Capacitors-MLCC-SMD-SMT_YAGEO-CC0402KRX5R6BB104_C129131.html" TargetMode="External"/><Relationship Id="rId7" Type="http://schemas.openxmlformats.org/officeDocument/2006/relationships/hyperlink" Target="https://www.lcsc.com/product-detail/Ambient-Light-Sensors_Lite-On-LTR-303ALS-01_C364577.html" TargetMode="External"/><Relationship Id="rId12" Type="http://schemas.openxmlformats.org/officeDocument/2006/relationships/hyperlink" Target="https://www.lcsc.com/product-detail/Multilayer-Ceramic-Capacitors-MLCC-SMD-SMT_Samsung-Electro-Mechanics-CL05A106MP5NUNC_C315248.html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www.lcsc.com/product-detail/Multilayer-Ceramic-Capacitors-MLCC-SMD-SMT_YAGEO-CC0603MRX5R6BB226_C109447.html" TargetMode="External"/><Relationship Id="rId16" Type="http://schemas.openxmlformats.org/officeDocument/2006/relationships/hyperlink" Target="https://www.lcsc.com/product-detail/FFC-FPC-Connect-Cables_JUSHUO-JS05A-20P-050-4-8_C2857502.html" TargetMode="External"/><Relationship Id="rId1" Type="http://schemas.openxmlformats.org/officeDocument/2006/relationships/hyperlink" Target="https://www.lcsc.com/product-detail/Multilayer-Ceramic-Capacitors-MLCC-SMD-SMT_YAGEO-CC0402KRX5R6BB105_C106254.html" TargetMode="External"/><Relationship Id="rId6" Type="http://schemas.openxmlformats.org/officeDocument/2006/relationships/hyperlink" Target="https://www.lcsc.com/product-detail/Chip-Resistor-Surface-Mount_YAGEO-RC0603FR-0710KL_C98220.html" TargetMode="External"/><Relationship Id="rId11" Type="http://schemas.openxmlformats.org/officeDocument/2006/relationships/hyperlink" Target="https://www.lcsc.com/product-detail/Multilayer-Ceramic-Capacitors-MLCC-SMD-SMT_Taiyo-Yuden-UMK105ABJ474KV-F_C386109.html" TargetMode="External"/><Relationship Id="rId5" Type="http://schemas.openxmlformats.org/officeDocument/2006/relationships/hyperlink" Target="https://www.lcsc.com/product-detail/FFC-FPC-Connectors_JUSHUO-AFC01-S20FCC-00_C262274.html" TargetMode="External"/><Relationship Id="rId15" Type="http://schemas.openxmlformats.org/officeDocument/2006/relationships/hyperlink" Target="https://www.lcsc.com/product-detail/FFC-FPC-Connect-Cables_Cvilux-FFCE2008T108000-300_C918683.html" TargetMode="External"/><Relationship Id="rId10" Type="http://schemas.openxmlformats.org/officeDocument/2006/relationships/hyperlink" Target="https://www.lcsc.com/product-detail/Light-Emitting-Diodes-LED_OPSCO-Optoelectronics-SK6812-EC20_C2909058.html" TargetMode="External"/><Relationship Id="rId4" Type="http://schemas.openxmlformats.org/officeDocument/2006/relationships/hyperlink" Target="https://www.lcsc.com/product-detail/Ferrite-Beads_Murata-Electronics-BLM15PD121SN1D_C76891.html" TargetMode="External"/><Relationship Id="rId9" Type="http://schemas.openxmlformats.org/officeDocument/2006/relationships/hyperlink" Target="https://www.lcsc.com/product-detail/Oscillators_Kyocera-AVX-KC2016K80-0000C1GE00_C1988243.html" TargetMode="External"/><Relationship Id="rId14" Type="http://schemas.openxmlformats.org/officeDocument/2006/relationships/hyperlink" Target="https://www.lcsc.com/product-detail/Chip-Resistor-Surface-Mount_PANASONIC-ERJ2GEJ151X_C41297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9"/>
  <sheetViews>
    <sheetView workbookViewId="0">
      <selection activeCell="E26" sqref="E26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8"/>
      <c r="L1" s="78"/>
      <c r="M1" s="78"/>
      <c r="N1" s="78"/>
      <c r="O1" s="78"/>
      <c r="P1" s="78"/>
      <c r="Q1" s="78"/>
      <c r="R1" s="78"/>
      <c r="S1" s="79"/>
    </row>
    <row r="2" spans="1:19" ht="32.25" thickBot="1" x14ac:dyDescent="0.3">
      <c r="A2" s="1"/>
      <c r="B2" s="21"/>
      <c r="C2" s="31"/>
      <c r="D2" s="11" t="s">
        <v>0</v>
      </c>
      <c r="E2" s="11"/>
      <c r="F2" s="52" t="s">
        <v>114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3" t="s">
        <v>115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0"/>
    </row>
    <row r="4" spans="1:19" x14ac:dyDescent="0.25">
      <c r="A4" s="1"/>
      <c r="B4" s="22"/>
      <c r="C4" s="32"/>
      <c r="D4" s="13" t="s">
        <v>2</v>
      </c>
      <c r="E4" s="13"/>
      <c r="F4" s="54" t="s">
        <v>115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1"/>
    </row>
    <row r="5" spans="1:19" x14ac:dyDescent="0.25">
      <c r="A5" s="1"/>
      <c r="B5" s="22"/>
      <c r="C5" s="32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1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1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1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1"/>
    </row>
    <row r="9" spans="1:19" ht="15.75" thickBot="1" x14ac:dyDescent="0.3">
      <c r="A9" s="1"/>
      <c r="B9" s="30" t="s">
        <v>4</v>
      </c>
      <c r="C9" s="30" t="s">
        <v>8</v>
      </c>
      <c r="D9" s="30" t="s">
        <v>19</v>
      </c>
      <c r="E9" s="30" t="s">
        <v>34</v>
      </c>
      <c r="F9" s="30" t="s">
        <v>51</v>
      </c>
      <c r="G9" s="30" t="s">
        <v>63</v>
      </c>
      <c r="H9" s="30" t="s">
        <v>76</v>
      </c>
      <c r="I9" s="30" t="s">
        <v>116</v>
      </c>
      <c r="J9" s="30" t="s">
        <v>88</v>
      </c>
      <c r="K9" s="56" t="s">
        <v>117</v>
      </c>
      <c r="L9" s="30" t="s">
        <v>113</v>
      </c>
      <c r="M9" s="30" t="s">
        <v>118</v>
      </c>
      <c r="N9" s="30" t="s">
        <v>119</v>
      </c>
      <c r="O9" s="30" t="s">
        <v>120</v>
      </c>
      <c r="P9" s="30" t="s">
        <v>121</v>
      </c>
      <c r="Q9" s="30" t="s">
        <v>122</v>
      </c>
      <c r="R9" s="30" t="s">
        <v>123</v>
      </c>
      <c r="S9" s="30" t="s">
        <v>124</v>
      </c>
    </row>
    <row r="10" spans="1:19" ht="24" x14ac:dyDescent="0.25">
      <c r="A10" s="1"/>
      <c r="B10" s="45">
        <f>ROW(B10) - ROW($B$9)</f>
        <v>1</v>
      </c>
      <c r="C10" s="51" t="s">
        <v>9</v>
      </c>
      <c r="D10" s="37" t="s">
        <v>20</v>
      </c>
      <c r="E10" s="37" t="s">
        <v>35</v>
      </c>
      <c r="F10" s="37" t="s">
        <v>52</v>
      </c>
      <c r="G10" s="37" t="s">
        <v>64</v>
      </c>
      <c r="H10" s="37" t="s">
        <v>77</v>
      </c>
      <c r="I10" s="37" t="s">
        <v>127</v>
      </c>
      <c r="J10" s="37" t="s">
        <v>89</v>
      </c>
      <c r="K10" s="37" t="s">
        <v>103</v>
      </c>
      <c r="L10" s="37">
        <v>13</v>
      </c>
      <c r="M10" s="37">
        <f>L10*5</f>
        <v>65</v>
      </c>
      <c r="N10" s="37">
        <v>100</v>
      </c>
      <c r="O10" s="72" t="s">
        <v>126</v>
      </c>
      <c r="P10" s="38">
        <v>2.3999999999999998E-3</v>
      </c>
      <c r="Q10" s="38">
        <f>P10*N10</f>
        <v>0.24</v>
      </c>
      <c r="R10" s="37"/>
      <c r="S10" s="58"/>
    </row>
    <row r="11" spans="1:19" x14ac:dyDescent="0.25">
      <c r="A11" s="1"/>
      <c r="B11" s="61">
        <f t="shared" ref="B11:B24" si="0">ROW(B11) - ROW($B$9)</f>
        <v>2</v>
      </c>
      <c r="C11" s="62" t="s">
        <v>9</v>
      </c>
      <c r="D11" s="63" t="s">
        <v>21</v>
      </c>
      <c r="E11" s="63" t="s">
        <v>36</v>
      </c>
      <c r="F11" s="63" t="s">
        <v>52</v>
      </c>
      <c r="G11" s="63" t="s">
        <v>65</v>
      </c>
      <c r="H11" s="63" t="s">
        <v>78</v>
      </c>
      <c r="I11" s="63" t="s">
        <v>127</v>
      </c>
      <c r="J11" s="63" t="s">
        <v>90</v>
      </c>
      <c r="K11" s="63" t="s">
        <v>104</v>
      </c>
      <c r="L11" s="63">
        <v>1</v>
      </c>
      <c r="M11" s="63">
        <f t="shared" ref="M11" si="1">L11*5</f>
        <v>5</v>
      </c>
      <c r="N11" s="63">
        <v>20</v>
      </c>
      <c r="O11" s="74" t="s">
        <v>126</v>
      </c>
      <c r="P11" s="64">
        <v>2.3300000000000001E-2</v>
      </c>
      <c r="Q11" s="64">
        <f t="shared" ref="Q11" si="2">P11*N11</f>
        <v>0.46600000000000003</v>
      </c>
      <c r="R11" s="63"/>
      <c r="S11" s="63"/>
    </row>
    <row r="12" spans="1:19" x14ac:dyDescent="0.25">
      <c r="A12" s="1"/>
      <c r="B12" s="67">
        <f>ROW(B12) - ROW($B$9)</f>
        <v>3</v>
      </c>
      <c r="C12" s="62" t="s">
        <v>9</v>
      </c>
      <c r="D12" s="69" t="s">
        <v>22</v>
      </c>
      <c r="E12" s="69" t="s">
        <v>37</v>
      </c>
      <c r="F12" s="69" t="s">
        <v>53</v>
      </c>
      <c r="G12" s="69" t="s">
        <v>66</v>
      </c>
      <c r="H12" s="69" t="s">
        <v>77</v>
      </c>
      <c r="I12" s="69" t="s">
        <v>127</v>
      </c>
      <c r="J12" s="69" t="s">
        <v>91</v>
      </c>
      <c r="K12" s="69" t="s">
        <v>105</v>
      </c>
      <c r="L12" s="69">
        <v>2</v>
      </c>
      <c r="M12" s="69">
        <f>L12*5</f>
        <v>10</v>
      </c>
      <c r="N12" s="37">
        <v>20</v>
      </c>
      <c r="O12" s="72" t="s">
        <v>126</v>
      </c>
      <c r="P12" s="38">
        <v>3.5200000000000002E-2</v>
      </c>
      <c r="Q12" s="70">
        <f>P12*N12</f>
        <v>0.70400000000000007</v>
      </c>
      <c r="R12" s="69"/>
      <c r="S12" s="65"/>
    </row>
    <row r="13" spans="1:19" x14ac:dyDescent="0.25">
      <c r="A13" s="1"/>
      <c r="B13" s="67">
        <f>ROW(B13) - ROW($B$9)</f>
        <v>4</v>
      </c>
      <c r="C13" s="62" t="s">
        <v>9</v>
      </c>
      <c r="D13" s="69" t="s">
        <v>23</v>
      </c>
      <c r="E13" s="69" t="s">
        <v>38</v>
      </c>
      <c r="F13" s="69" t="s">
        <v>52</v>
      </c>
      <c r="G13" s="69" t="s">
        <v>67</v>
      </c>
      <c r="H13" s="69" t="s">
        <v>79</v>
      </c>
      <c r="I13" s="69" t="s">
        <v>127</v>
      </c>
      <c r="J13" s="69" t="s">
        <v>92</v>
      </c>
      <c r="K13" s="69" t="s">
        <v>107</v>
      </c>
      <c r="L13" s="69">
        <v>4</v>
      </c>
      <c r="M13" s="69">
        <f>L13*5</f>
        <v>20</v>
      </c>
      <c r="N13" s="69">
        <v>50</v>
      </c>
      <c r="O13" s="73" t="s">
        <v>126</v>
      </c>
      <c r="P13" s="70">
        <v>1.0800000000000001E-2</v>
      </c>
      <c r="Q13" s="70">
        <f>P13*N13</f>
        <v>0.54</v>
      </c>
      <c r="R13" s="69"/>
      <c r="S13" s="65"/>
    </row>
    <row r="14" spans="1:19" x14ac:dyDescent="0.25">
      <c r="A14" s="1"/>
      <c r="B14" s="61">
        <f t="shared" si="0"/>
        <v>5</v>
      </c>
      <c r="C14" s="62" t="s">
        <v>9</v>
      </c>
      <c r="D14" s="63" t="s">
        <v>24</v>
      </c>
      <c r="E14" s="63" t="s">
        <v>39</v>
      </c>
      <c r="F14" s="63" t="s">
        <v>52</v>
      </c>
      <c r="G14" s="63" t="s">
        <v>68</v>
      </c>
      <c r="H14" s="63" t="s">
        <v>77</v>
      </c>
      <c r="I14" s="63" t="s">
        <v>127</v>
      </c>
      <c r="J14" s="63" t="s">
        <v>93</v>
      </c>
      <c r="K14" s="63" t="s">
        <v>108</v>
      </c>
      <c r="L14" s="63">
        <v>1</v>
      </c>
      <c r="M14" s="63">
        <f t="shared" ref="M14:M15" si="3">L14*5</f>
        <v>5</v>
      </c>
      <c r="N14" s="63">
        <v>100</v>
      </c>
      <c r="O14" s="74" t="s">
        <v>126</v>
      </c>
      <c r="P14" s="64">
        <v>1.1000000000000001E-3</v>
      </c>
      <c r="Q14" s="64">
        <f t="shared" ref="Q14:Q15" si="4">P14*N14</f>
        <v>0.11</v>
      </c>
      <c r="R14" s="63"/>
      <c r="S14" s="65"/>
    </row>
    <row r="15" spans="1:19" ht="24" x14ac:dyDescent="0.25">
      <c r="A15" s="1"/>
      <c r="B15" s="61">
        <f t="shared" si="0"/>
        <v>6</v>
      </c>
      <c r="C15" s="62" t="s">
        <v>9</v>
      </c>
      <c r="D15" s="49" t="s">
        <v>128</v>
      </c>
      <c r="E15" s="63" t="s">
        <v>40</v>
      </c>
      <c r="F15" s="63" t="s">
        <v>52</v>
      </c>
      <c r="G15" s="63" t="s">
        <v>69</v>
      </c>
      <c r="H15" s="63" t="s">
        <v>77</v>
      </c>
      <c r="I15" s="63" t="s">
        <v>127</v>
      </c>
      <c r="J15" s="63" t="s">
        <v>94</v>
      </c>
      <c r="K15" s="63" t="s">
        <v>106</v>
      </c>
      <c r="L15" s="63">
        <v>11</v>
      </c>
      <c r="M15" s="63">
        <f t="shared" si="3"/>
        <v>55</v>
      </c>
      <c r="N15" s="37">
        <v>100</v>
      </c>
      <c r="O15" s="72" t="s">
        <v>126</v>
      </c>
      <c r="P15" s="38">
        <v>1.1000000000000001E-3</v>
      </c>
      <c r="Q15" s="64">
        <f t="shared" si="4"/>
        <v>0.11</v>
      </c>
      <c r="R15" s="63"/>
      <c r="S15" s="65"/>
    </row>
    <row r="16" spans="1:19" x14ac:dyDescent="0.25">
      <c r="A16" s="1"/>
      <c r="B16" s="67">
        <f>ROW(B16) - ROW($B$9)</f>
        <v>7</v>
      </c>
      <c r="C16" s="68" t="s">
        <v>10</v>
      </c>
      <c r="D16" s="69" t="s">
        <v>25</v>
      </c>
      <c r="E16" s="69" t="s">
        <v>41</v>
      </c>
      <c r="F16" s="69" t="s">
        <v>54</v>
      </c>
      <c r="G16" s="69" t="s">
        <v>70</v>
      </c>
      <c r="H16" s="69" t="s">
        <v>80</v>
      </c>
      <c r="I16" s="69" t="s">
        <v>127</v>
      </c>
      <c r="J16" s="69" t="s">
        <v>95</v>
      </c>
      <c r="K16" s="69" t="s">
        <v>109</v>
      </c>
      <c r="L16" s="69">
        <v>7</v>
      </c>
      <c r="M16" s="69">
        <f>L16*5</f>
        <v>35</v>
      </c>
      <c r="N16" s="37">
        <v>100</v>
      </c>
      <c r="O16" s="72" t="s">
        <v>126</v>
      </c>
      <c r="P16" s="38">
        <v>5.5999999999999999E-3</v>
      </c>
      <c r="Q16" s="70">
        <f>P16*N16</f>
        <v>0.55999999999999994</v>
      </c>
      <c r="R16" s="69"/>
      <c r="S16" s="65"/>
    </row>
    <row r="17" spans="1:19" ht="36" x14ac:dyDescent="0.25">
      <c r="A17" s="1"/>
      <c r="B17" s="61">
        <f t="shared" si="0"/>
        <v>8</v>
      </c>
      <c r="C17" s="62" t="s">
        <v>11</v>
      </c>
      <c r="D17" s="63" t="s">
        <v>26</v>
      </c>
      <c r="E17" s="49" t="s">
        <v>42</v>
      </c>
      <c r="F17" s="63" t="s">
        <v>125</v>
      </c>
      <c r="G17" s="63" t="s">
        <v>55</v>
      </c>
      <c r="H17" s="63" t="s">
        <v>81</v>
      </c>
      <c r="I17" s="63" t="s">
        <v>127</v>
      </c>
      <c r="J17" s="63" t="s">
        <v>96</v>
      </c>
      <c r="K17" s="63" t="s">
        <v>127</v>
      </c>
      <c r="L17" s="63">
        <v>1</v>
      </c>
      <c r="M17" s="63">
        <f t="shared" ref="M17" si="5">L17*5</f>
        <v>5</v>
      </c>
      <c r="N17" s="49">
        <v>10</v>
      </c>
      <c r="O17" s="72" t="s">
        <v>126</v>
      </c>
      <c r="P17" s="50">
        <v>8.6599999999999996E-2</v>
      </c>
      <c r="Q17" s="64">
        <f t="shared" ref="Q17" si="6">P17*N17</f>
        <v>0.86599999999999999</v>
      </c>
      <c r="R17" s="63"/>
      <c r="S17" s="65"/>
    </row>
    <row r="18" spans="1:19" ht="24" x14ac:dyDescent="0.25">
      <c r="A18" s="1"/>
      <c r="B18" s="67">
        <f>ROW(B18) - ROW($B$9)</f>
        <v>9</v>
      </c>
      <c r="C18" s="68" t="s">
        <v>12</v>
      </c>
      <c r="D18" s="69" t="s">
        <v>27</v>
      </c>
      <c r="E18" s="37" t="s">
        <v>43</v>
      </c>
      <c r="F18" s="69" t="s">
        <v>125</v>
      </c>
      <c r="G18" s="69" t="s">
        <v>56</v>
      </c>
      <c r="H18" s="69" t="s">
        <v>82</v>
      </c>
      <c r="I18" s="69" t="s">
        <v>127</v>
      </c>
      <c r="J18" s="69" t="s">
        <v>97</v>
      </c>
      <c r="K18" s="69" t="s">
        <v>127</v>
      </c>
      <c r="L18" s="69">
        <v>5</v>
      </c>
      <c r="M18" s="69">
        <f>L18*5</f>
        <v>25</v>
      </c>
      <c r="N18" s="69">
        <v>30</v>
      </c>
      <c r="O18" s="73" t="s">
        <v>126</v>
      </c>
      <c r="P18" s="70">
        <v>0.2044</v>
      </c>
      <c r="Q18" s="70">
        <f>P18*N18</f>
        <v>6.1319999999999997</v>
      </c>
      <c r="R18" s="69"/>
      <c r="S18" s="65"/>
    </row>
    <row r="19" spans="1:19" x14ac:dyDescent="0.25">
      <c r="A19" s="1"/>
      <c r="B19" s="46">
        <f t="shared" si="0"/>
        <v>10</v>
      </c>
      <c r="C19" s="51" t="s">
        <v>13</v>
      </c>
      <c r="D19" s="75" t="s">
        <v>28</v>
      </c>
      <c r="E19" s="75" t="s">
        <v>44</v>
      </c>
      <c r="F19" s="75" t="s">
        <v>127</v>
      </c>
      <c r="G19" s="75" t="s">
        <v>57</v>
      </c>
      <c r="H19" s="75" t="s">
        <v>127</v>
      </c>
      <c r="I19" s="75" t="s">
        <v>127</v>
      </c>
      <c r="J19" s="75" t="s">
        <v>127</v>
      </c>
      <c r="K19" s="75" t="s">
        <v>127</v>
      </c>
      <c r="L19" s="75">
        <v>1</v>
      </c>
      <c r="M19" s="75">
        <f t="shared" ref="M19:M20" si="7">L19*5</f>
        <v>5</v>
      </c>
      <c r="N19" s="75" t="s">
        <v>127</v>
      </c>
      <c r="O19" s="75" t="s">
        <v>127</v>
      </c>
      <c r="P19" s="76" t="s">
        <v>127</v>
      </c>
      <c r="Q19" s="76" t="s">
        <v>127</v>
      </c>
      <c r="R19" s="75"/>
      <c r="S19" s="77"/>
    </row>
    <row r="20" spans="1:19" x14ac:dyDescent="0.25">
      <c r="A20" s="1"/>
      <c r="B20" s="61">
        <f t="shared" si="0"/>
        <v>11</v>
      </c>
      <c r="C20" s="62" t="s">
        <v>14</v>
      </c>
      <c r="D20" s="63" t="s">
        <v>29</v>
      </c>
      <c r="E20" s="63" t="s">
        <v>45</v>
      </c>
      <c r="F20" s="63" t="s">
        <v>58</v>
      </c>
      <c r="G20" s="63" t="s">
        <v>71</v>
      </c>
      <c r="H20" s="63" t="s">
        <v>83</v>
      </c>
      <c r="I20" s="63"/>
      <c r="J20" s="63" t="s">
        <v>98</v>
      </c>
      <c r="K20" s="63" t="s">
        <v>111</v>
      </c>
      <c r="L20" s="63">
        <v>1</v>
      </c>
      <c r="M20" s="63">
        <f t="shared" si="7"/>
        <v>5</v>
      </c>
      <c r="N20" s="63">
        <v>50</v>
      </c>
      <c r="O20" s="74" t="s">
        <v>126</v>
      </c>
      <c r="P20" s="64">
        <v>3.5999999999999999E-3</v>
      </c>
      <c r="Q20" s="64">
        <f t="shared" ref="Q20" si="8">P20*N20</f>
        <v>0.18</v>
      </c>
      <c r="R20" s="63"/>
      <c r="S20" s="65"/>
    </row>
    <row r="21" spans="1:19" x14ac:dyDescent="0.25">
      <c r="A21" s="1"/>
      <c r="B21" s="67">
        <f>ROW(B21) - ROW($B$9)</f>
        <v>12</v>
      </c>
      <c r="C21" s="68" t="s">
        <v>14</v>
      </c>
      <c r="D21" s="69" t="s">
        <v>129</v>
      </c>
      <c r="E21" s="69" t="s">
        <v>46</v>
      </c>
      <c r="F21" s="69" t="s">
        <v>59</v>
      </c>
      <c r="G21" s="69" t="s">
        <v>72</v>
      </c>
      <c r="H21" s="69" t="s">
        <v>77</v>
      </c>
      <c r="I21" s="69" t="s">
        <v>127</v>
      </c>
      <c r="J21" s="69" t="s">
        <v>99</v>
      </c>
      <c r="K21" s="69" t="s">
        <v>110</v>
      </c>
      <c r="L21" s="69">
        <v>5</v>
      </c>
      <c r="M21" s="69">
        <f>L21*5</f>
        <v>25</v>
      </c>
      <c r="N21" s="49">
        <v>100</v>
      </c>
      <c r="O21" s="72" t="s">
        <v>126</v>
      </c>
      <c r="P21" s="50">
        <v>1E-3</v>
      </c>
      <c r="Q21" s="70">
        <f>P21*N21</f>
        <v>0.1</v>
      </c>
      <c r="R21" s="69"/>
      <c r="S21" s="65"/>
    </row>
    <row r="22" spans="1:19" x14ac:dyDescent="0.25">
      <c r="A22" s="1"/>
      <c r="B22" s="61">
        <f t="shared" si="0"/>
        <v>13</v>
      </c>
      <c r="C22" s="62" t="s">
        <v>15</v>
      </c>
      <c r="D22" s="63" t="s">
        <v>30</v>
      </c>
      <c r="E22" s="63" t="s">
        <v>47</v>
      </c>
      <c r="F22" s="63" t="s">
        <v>60</v>
      </c>
      <c r="G22" s="63" t="s">
        <v>73</v>
      </c>
      <c r="H22" s="63" t="s">
        <v>84</v>
      </c>
      <c r="I22" s="63" t="s">
        <v>127</v>
      </c>
      <c r="J22" s="63"/>
      <c r="K22" s="63" t="s">
        <v>127</v>
      </c>
      <c r="L22" s="63">
        <v>1</v>
      </c>
      <c r="M22" s="63">
        <f t="shared" ref="M22" si="9">L22*5</f>
        <v>5</v>
      </c>
      <c r="N22" s="63"/>
      <c r="O22" s="63"/>
      <c r="P22" s="64"/>
      <c r="Q22" s="64">
        <f t="shared" ref="Q22" si="10">P22*N22</f>
        <v>0</v>
      </c>
      <c r="R22" s="63"/>
      <c r="S22" s="65"/>
    </row>
    <row r="23" spans="1:19" x14ac:dyDescent="0.25">
      <c r="A23" s="1"/>
      <c r="B23" s="67">
        <f>ROW(B23) - ROW($B$9)</f>
        <v>14</v>
      </c>
      <c r="C23" s="68" t="s">
        <v>16</v>
      </c>
      <c r="D23" s="69" t="s">
        <v>31</v>
      </c>
      <c r="E23" s="69" t="s">
        <v>48</v>
      </c>
      <c r="F23" s="69" t="s">
        <v>61</v>
      </c>
      <c r="G23" s="69" t="s">
        <v>74</v>
      </c>
      <c r="H23" s="69" t="s">
        <v>85</v>
      </c>
      <c r="I23" s="69" t="s">
        <v>127</v>
      </c>
      <c r="J23" s="69" t="s">
        <v>100</v>
      </c>
      <c r="K23" s="69" t="s">
        <v>127</v>
      </c>
      <c r="L23" s="69">
        <v>1</v>
      </c>
      <c r="M23" s="69">
        <f>L23*5</f>
        <v>5</v>
      </c>
      <c r="N23" s="69">
        <v>6</v>
      </c>
      <c r="O23" s="73" t="s">
        <v>126</v>
      </c>
      <c r="P23" s="70">
        <v>0.3866</v>
      </c>
      <c r="Q23" s="70">
        <f>P23*N23</f>
        <v>2.3195999999999999</v>
      </c>
      <c r="R23" s="69"/>
      <c r="S23" s="65"/>
    </row>
    <row r="24" spans="1:19" x14ac:dyDescent="0.25">
      <c r="A24" s="1"/>
      <c r="B24" s="61">
        <f t="shared" si="0"/>
        <v>15</v>
      </c>
      <c r="C24" s="62" t="s">
        <v>17</v>
      </c>
      <c r="D24" s="63" t="s">
        <v>32</v>
      </c>
      <c r="E24" s="63" t="s">
        <v>49</v>
      </c>
      <c r="F24" s="63" t="s">
        <v>125</v>
      </c>
      <c r="G24" s="63" t="s">
        <v>62</v>
      </c>
      <c r="H24" s="63" t="s">
        <v>86</v>
      </c>
      <c r="I24" s="63" t="s">
        <v>127</v>
      </c>
      <c r="J24" s="63" t="s">
        <v>101</v>
      </c>
      <c r="K24" s="63" t="s">
        <v>127</v>
      </c>
      <c r="L24" s="63">
        <v>4</v>
      </c>
      <c r="M24" s="63">
        <f t="shared" ref="M24" si="11">L24*5</f>
        <v>20</v>
      </c>
      <c r="N24" s="63">
        <v>21</v>
      </c>
      <c r="O24" s="74" t="s">
        <v>126</v>
      </c>
      <c r="P24" s="64">
        <v>1.9424999999999999</v>
      </c>
      <c r="Q24" s="64">
        <f t="shared" ref="Q24" si="12">P24*N24</f>
        <v>40.792499999999997</v>
      </c>
      <c r="R24" s="63"/>
      <c r="S24" s="65"/>
    </row>
    <row r="25" spans="1:19" ht="15.75" thickBot="1" x14ac:dyDescent="0.3">
      <c r="A25" s="1"/>
      <c r="B25" s="67">
        <f>ROW(B25) - ROW($B$9)</f>
        <v>16</v>
      </c>
      <c r="C25" s="68" t="s">
        <v>18</v>
      </c>
      <c r="D25" s="69" t="s">
        <v>33</v>
      </c>
      <c r="E25" s="69" t="s">
        <v>50</v>
      </c>
      <c r="F25" s="69" t="s">
        <v>125</v>
      </c>
      <c r="G25" s="69" t="s">
        <v>75</v>
      </c>
      <c r="H25" s="69" t="s">
        <v>87</v>
      </c>
      <c r="I25" s="69" t="s">
        <v>127</v>
      </c>
      <c r="J25" s="69" t="s">
        <v>102</v>
      </c>
      <c r="K25" s="69" t="s">
        <v>112</v>
      </c>
      <c r="L25" s="69">
        <v>1</v>
      </c>
      <c r="M25" s="69">
        <f>L25*5</f>
        <v>5</v>
      </c>
      <c r="N25" s="69">
        <v>6</v>
      </c>
      <c r="O25" s="73" t="s">
        <v>126</v>
      </c>
      <c r="P25" s="70">
        <v>0.86070000000000002</v>
      </c>
      <c r="Q25" s="70">
        <f>P25*N25</f>
        <v>5.1642000000000001</v>
      </c>
      <c r="R25" s="69"/>
      <c r="S25" s="71"/>
    </row>
    <row r="26" spans="1:19" ht="36.75" thickBot="1" x14ac:dyDescent="0.3">
      <c r="A26" s="1"/>
      <c r="B26" s="67">
        <f t="shared" ref="B26:B27" si="13">ROW(B26) - ROW($B$9)</f>
        <v>17</v>
      </c>
      <c r="C26" s="68" t="s">
        <v>134</v>
      </c>
      <c r="D26" s="69" t="s">
        <v>141</v>
      </c>
      <c r="E26" s="37" t="s">
        <v>136</v>
      </c>
      <c r="F26" s="69" t="s">
        <v>127</v>
      </c>
      <c r="G26" s="37" t="s">
        <v>135</v>
      </c>
      <c r="H26" s="69" t="s">
        <v>137</v>
      </c>
      <c r="I26" s="63" t="s">
        <v>127</v>
      </c>
      <c r="J26" s="69" t="s">
        <v>138</v>
      </c>
      <c r="K26" s="69" t="s">
        <v>127</v>
      </c>
      <c r="L26" s="69">
        <v>1</v>
      </c>
      <c r="M26" s="69">
        <f>L26*5</f>
        <v>5</v>
      </c>
      <c r="N26" s="69">
        <v>6</v>
      </c>
      <c r="O26" s="73" t="s">
        <v>126</v>
      </c>
      <c r="P26" s="70">
        <v>0.17219999999999999</v>
      </c>
      <c r="Q26" s="70">
        <f>P26*N26</f>
        <v>1.0331999999999999</v>
      </c>
      <c r="R26" s="69"/>
      <c r="S26" s="71"/>
    </row>
    <row r="27" spans="1:19" ht="36.75" thickBot="1" x14ac:dyDescent="0.3">
      <c r="A27" s="1"/>
      <c r="B27" s="67">
        <f t="shared" si="13"/>
        <v>18</v>
      </c>
      <c r="C27" s="68" t="s">
        <v>134</v>
      </c>
      <c r="D27" s="69" t="s">
        <v>142</v>
      </c>
      <c r="E27" s="37" t="s">
        <v>140</v>
      </c>
      <c r="F27" s="69" t="s">
        <v>127</v>
      </c>
      <c r="G27" s="69" t="s">
        <v>139</v>
      </c>
      <c r="H27" s="69" t="s">
        <v>143</v>
      </c>
      <c r="I27" s="69" t="s">
        <v>127</v>
      </c>
      <c r="J27" s="69" t="s">
        <v>144</v>
      </c>
      <c r="K27" s="69" t="s">
        <v>127</v>
      </c>
      <c r="L27" s="69">
        <v>1</v>
      </c>
      <c r="M27" s="69">
        <f>L27*5</f>
        <v>5</v>
      </c>
      <c r="N27" s="69">
        <v>10</v>
      </c>
      <c r="O27" s="73" t="s">
        <v>126</v>
      </c>
      <c r="P27" s="70">
        <v>8.0600000000000005E-2</v>
      </c>
      <c r="Q27" s="70">
        <f>P27*N27</f>
        <v>0.80600000000000005</v>
      </c>
      <c r="R27" s="69"/>
      <c r="S27" s="71"/>
    </row>
    <row r="28" spans="1:19" ht="19.5" thickBot="1" x14ac:dyDescent="0.3">
      <c r="A28" s="1"/>
      <c r="B28" s="39"/>
      <c r="C28" s="40"/>
      <c r="D28" s="41"/>
      <c r="E28" s="42"/>
      <c r="F28" s="43"/>
      <c r="G28" s="44"/>
      <c r="H28" s="43"/>
      <c r="I28" s="44"/>
      <c r="J28" s="43"/>
      <c r="K28" s="44"/>
      <c r="L28" s="44"/>
      <c r="M28" s="44"/>
      <c r="N28" s="82" t="s">
        <v>5</v>
      </c>
      <c r="O28" s="83"/>
      <c r="P28" s="83"/>
      <c r="Q28" s="47">
        <f>SUM(Q10:Q27)</f>
        <v>60.123499999999993</v>
      </c>
      <c r="R28" s="84"/>
      <c r="S28" s="85"/>
    </row>
    <row r="29" spans="1:19" ht="19.5" thickBot="1" x14ac:dyDescent="0.3">
      <c r="A29" s="1"/>
      <c r="B29" s="25"/>
      <c r="C29" s="36"/>
      <c r="D29" s="9"/>
      <c r="E29" s="10"/>
      <c r="F29" s="10"/>
      <c r="G29" s="10"/>
      <c r="H29" s="10"/>
      <c r="I29" s="10"/>
      <c r="J29" s="10"/>
      <c r="K29" s="10"/>
      <c r="L29" s="10"/>
      <c r="M29" s="10"/>
      <c r="N29" s="82" t="s">
        <v>6</v>
      </c>
      <c r="O29" s="83"/>
      <c r="P29" s="83"/>
      <c r="Q29" s="48">
        <f>Q28/5</f>
        <v>12.024699999999999</v>
      </c>
      <c r="R29" s="86"/>
      <c r="S29" s="87"/>
    </row>
  </sheetData>
  <mergeCells count="5">
    <mergeCell ref="K1:S1"/>
    <mergeCell ref="S3:S8"/>
    <mergeCell ref="N28:P28"/>
    <mergeCell ref="R28:S29"/>
    <mergeCell ref="N29:P29"/>
  </mergeCells>
  <hyperlinks>
    <hyperlink ref="O10" r:id="rId1"/>
    <hyperlink ref="O12" r:id="rId2"/>
    <hyperlink ref="O15" r:id="rId3"/>
    <hyperlink ref="O16" r:id="rId4"/>
    <hyperlink ref="O17" r:id="rId5"/>
    <hyperlink ref="O21" r:id="rId6"/>
    <hyperlink ref="O23" r:id="rId7"/>
    <hyperlink ref="O24" r:id="rId8"/>
    <hyperlink ref="O25" r:id="rId9"/>
    <hyperlink ref="O18" r:id="rId10"/>
    <hyperlink ref="O11" r:id="rId11"/>
    <hyperlink ref="O13" r:id="rId12"/>
    <hyperlink ref="O14" r:id="rId13"/>
    <hyperlink ref="O20" r:id="rId14"/>
    <hyperlink ref="O26" r:id="rId15"/>
    <hyperlink ref="O27" r:id="rId16"/>
  </hyperlinks>
  <pageMargins left="0.7" right="0.7" top="0.75" bottom="0.75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workbookViewId="0">
      <selection activeCell="D26" sqref="D26"/>
    </sheetView>
  </sheetViews>
  <sheetFormatPr defaultRowHeight="15" x14ac:dyDescent="0.25"/>
  <cols>
    <col min="2" max="2" width="3" bestFit="1" customWidth="1"/>
    <col min="3" max="3" width="18.140625" bestFit="1" customWidth="1"/>
    <col min="4" max="4" width="31.140625" bestFit="1" customWidth="1"/>
    <col min="5" max="5" width="28.85546875" customWidth="1"/>
    <col min="6" max="6" width="16.140625" customWidth="1"/>
    <col min="7" max="7" width="25.28515625" bestFit="1" customWidth="1"/>
    <col min="8" max="8" width="18.85546875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8"/>
      <c r="L1" s="78"/>
      <c r="M1" s="78"/>
      <c r="N1" s="78"/>
      <c r="O1" s="78"/>
      <c r="P1" s="78"/>
      <c r="Q1" s="78"/>
      <c r="R1" s="78"/>
      <c r="S1" s="79"/>
    </row>
    <row r="2" spans="1:19" ht="32.25" thickBot="1" x14ac:dyDescent="0.3">
      <c r="A2" s="1"/>
      <c r="B2" s="21"/>
      <c r="C2" s="31"/>
      <c r="D2" s="11" t="s">
        <v>0</v>
      </c>
      <c r="E2" s="11"/>
      <c r="F2" s="52" t="s">
        <v>114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3" t="s">
        <v>115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0"/>
    </row>
    <row r="4" spans="1:19" x14ac:dyDescent="0.25">
      <c r="A4" s="1"/>
      <c r="B4" s="22"/>
      <c r="C4" s="32"/>
      <c r="D4" s="13" t="s">
        <v>2</v>
      </c>
      <c r="E4" s="13"/>
      <c r="F4" s="54" t="s">
        <v>115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1"/>
    </row>
    <row r="5" spans="1:19" x14ac:dyDescent="0.25">
      <c r="A5" s="1"/>
      <c r="B5" s="22"/>
      <c r="C5" s="32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1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1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1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1"/>
    </row>
    <row r="9" spans="1:19" ht="15.75" thickBot="1" x14ac:dyDescent="0.3">
      <c r="A9" s="1"/>
      <c r="B9" s="30" t="s">
        <v>4</v>
      </c>
      <c r="C9" s="30" t="s">
        <v>8</v>
      </c>
      <c r="D9" s="30" t="s">
        <v>19</v>
      </c>
      <c r="E9" s="30" t="s">
        <v>34</v>
      </c>
      <c r="F9" s="30" t="s">
        <v>51</v>
      </c>
      <c r="G9" s="30" t="s">
        <v>63</v>
      </c>
      <c r="H9" s="30" t="s">
        <v>76</v>
      </c>
      <c r="I9" s="30" t="s">
        <v>116</v>
      </c>
      <c r="J9" s="30" t="s">
        <v>88</v>
      </c>
      <c r="K9" s="56" t="s">
        <v>117</v>
      </c>
      <c r="L9" s="30" t="s">
        <v>113</v>
      </c>
      <c r="M9" s="30" t="s">
        <v>131</v>
      </c>
      <c r="N9" s="30" t="s">
        <v>130</v>
      </c>
      <c r="O9" s="30" t="s">
        <v>120</v>
      </c>
      <c r="P9" s="30" t="s">
        <v>133</v>
      </c>
      <c r="Q9" s="30" t="s">
        <v>132</v>
      </c>
      <c r="R9" s="30" t="s">
        <v>123</v>
      </c>
      <c r="S9" s="30" t="s">
        <v>124</v>
      </c>
    </row>
    <row r="10" spans="1:19" s="59" customFormat="1" ht="24" x14ac:dyDescent="0.25">
      <c r="A10" s="57"/>
      <c r="B10" s="45">
        <f>ROW(B10) - ROW($B$9)</f>
        <v>1</v>
      </c>
      <c r="C10" s="51" t="s">
        <v>9</v>
      </c>
      <c r="D10" s="37" t="s">
        <v>20</v>
      </c>
      <c r="E10" s="37" t="s">
        <v>35</v>
      </c>
      <c r="F10" s="37" t="s">
        <v>52</v>
      </c>
      <c r="G10" s="37" t="s">
        <v>64</v>
      </c>
      <c r="H10" s="37" t="s">
        <v>77</v>
      </c>
      <c r="I10" s="37" t="s">
        <v>127</v>
      </c>
      <c r="J10" s="37" t="s">
        <v>89</v>
      </c>
      <c r="K10" s="37" t="s">
        <v>103</v>
      </c>
      <c r="L10" s="37">
        <v>13</v>
      </c>
      <c r="M10" s="37">
        <f>L10*10</f>
        <v>130</v>
      </c>
      <c r="N10" s="37">
        <v>200</v>
      </c>
      <c r="O10" s="72" t="s">
        <v>126</v>
      </c>
      <c r="P10" s="38">
        <v>2.3999999999999998E-3</v>
      </c>
      <c r="Q10" s="38">
        <f>P10*N10</f>
        <v>0.48</v>
      </c>
      <c r="R10" s="37"/>
      <c r="S10" s="58"/>
    </row>
    <row r="11" spans="1:19" s="66" customFormat="1" x14ac:dyDescent="0.25">
      <c r="A11" s="60"/>
      <c r="B11" s="61">
        <f t="shared" ref="B11:B24" si="0">ROW(B11) - ROW($B$9)</f>
        <v>2</v>
      </c>
      <c r="C11" s="62" t="s">
        <v>9</v>
      </c>
      <c r="D11" s="63" t="s">
        <v>21</v>
      </c>
      <c r="E11" s="63" t="s">
        <v>36</v>
      </c>
      <c r="F11" s="63" t="s">
        <v>52</v>
      </c>
      <c r="G11" s="63" t="s">
        <v>65</v>
      </c>
      <c r="H11" s="63" t="s">
        <v>78</v>
      </c>
      <c r="I11" s="63" t="s">
        <v>127</v>
      </c>
      <c r="J11" s="63" t="s">
        <v>90</v>
      </c>
      <c r="K11" s="63" t="s">
        <v>104</v>
      </c>
      <c r="L11" s="63">
        <v>1</v>
      </c>
      <c r="M11" s="37">
        <f t="shared" ref="M11:M27" si="1">L11*10</f>
        <v>10</v>
      </c>
      <c r="N11" s="63">
        <v>20</v>
      </c>
      <c r="O11" s="74" t="s">
        <v>126</v>
      </c>
      <c r="P11" s="64">
        <v>2.3300000000000001E-2</v>
      </c>
      <c r="Q11" s="64">
        <f t="shared" ref="Q11" si="2">P11*N11</f>
        <v>0.46600000000000003</v>
      </c>
      <c r="R11" s="63"/>
      <c r="S11" s="63"/>
    </row>
    <row r="12" spans="1:19" s="66" customFormat="1" x14ac:dyDescent="0.25">
      <c r="A12" s="60"/>
      <c r="B12" s="67">
        <f>ROW(B12) - ROW($B$9)</f>
        <v>3</v>
      </c>
      <c r="C12" s="62" t="s">
        <v>9</v>
      </c>
      <c r="D12" s="69" t="s">
        <v>22</v>
      </c>
      <c r="E12" s="69" t="s">
        <v>37</v>
      </c>
      <c r="F12" s="69" t="s">
        <v>53</v>
      </c>
      <c r="G12" s="69" t="s">
        <v>66</v>
      </c>
      <c r="H12" s="69" t="s">
        <v>77</v>
      </c>
      <c r="I12" s="69" t="s">
        <v>127</v>
      </c>
      <c r="J12" s="69" t="s">
        <v>91</v>
      </c>
      <c r="K12" s="69" t="s">
        <v>105</v>
      </c>
      <c r="L12" s="69">
        <v>2</v>
      </c>
      <c r="M12" s="37">
        <f t="shared" si="1"/>
        <v>20</v>
      </c>
      <c r="N12" s="37">
        <v>40</v>
      </c>
      <c r="O12" s="72" t="s">
        <v>126</v>
      </c>
      <c r="P12" s="38">
        <v>3.5200000000000002E-2</v>
      </c>
      <c r="Q12" s="70">
        <f>P12*N12</f>
        <v>1.4080000000000001</v>
      </c>
      <c r="R12" s="69"/>
      <c r="S12" s="65"/>
    </row>
    <row r="13" spans="1:19" s="66" customFormat="1" x14ac:dyDescent="0.25">
      <c r="A13" s="60"/>
      <c r="B13" s="67">
        <f>ROW(B13) - ROW($B$9)</f>
        <v>4</v>
      </c>
      <c r="C13" s="62" t="s">
        <v>9</v>
      </c>
      <c r="D13" s="69" t="s">
        <v>23</v>
      </c>
      <c r="E13" s="69" t="s">
        <v>38</v>
      </c>
      <c r="F13" s="69" t="s">
        <v>52</v>
      </c>
      <c r="G13" s="69" t="s">
        <v>67</v>
      </c>
      <c r="H13" s="69" t="s">
        <v>79</v>
      </c>
      <c r="I13" s="69" t="s">
        <v>127</v>
      </c>
      <c r="J13" s="69" t="s">
        <v>92</v>
      </c>
      <c r="K13" s="69" t="s">
        <v>107</v>
      </c>
      <c r="L13" s="69">
        <v>4</v>
      </c>
      <c r="M13" s="37">
        <f t="shared" si="1"/>
        <v>40</v>
      </c>
      <c r="N13" s="69">
        <v>50</v>
      </c>
      <c r="O13" s="73" t="s">
        <v>126</v>
      </c>
      <c r="P13" s="70">
        <v>1.0800000000000001E-2</v>
      </c>
      <c r="Q13" s="70">
        <f>P13*N13</f>
        <v>0.54</v>
      </c>
      <c r="R13" s="69"/>
      <c r="S13" s="65"/>
    </row>
    <row r="14" spans="1:19" s="66" customFormat="1" x14ac:dyDescent="0.25">
      <c r="A14" s="60"/>
      <c r="B14" s="61">
        <f t="shared" si="0"/>
        <v>5</v>
      </c>
      <c r="C14" s="62" t="s">
        <v>9</v>
      </c>
      <c r="D14" s="63" t="s">
        <v>24</v>
      </c>
      <c r="E14" s="63" t="s">
        <v>39</v>
      </c>
      <c r="F14" s="63" t="s">
        <v>52</v>
      </c>
      <c r="G14" s="63" t="s">
        <v>68</v>
      </c>
      <c r="H14" s="63" t="s">
        <v>77</v>
      </c>
      <c r="I14" s="63" t="s">
        <v>127</v>
      </c>
      <c r="J14" s="63" t="s">
        <v>93</v>
      </c>
      <c r="K14" s="63" t="s">
        <v>108</v>
      </c>
      <c r="L14" s="63">
        <v>1</v>
      </c>
      <c r="M14" s="37">
        <f t="shared" si="1"/>
        <v>10</v>
      </c>
      <c r="N14" s="63">
        <v>100</v>
      </c>
      <c r="O14" s="74" t="s">
        <v>126</v>
      </c>
      <c r="P14" s="64">
        <v>1.1000000000000001E-3</v>
      </c>
      <c r="Q14" s="64">
        <f t="shared" ref="Q14" si="3">P14*N14</f>
        <v>0.11</v>
      </c>
      <c r="R14" s="63"/>
      <c r="S14" s="65"/>
    </row>
    <row r="15" spans="1:19" s="66" customFormat="1" ht="24" x14ac:dyDescent="0.25">
      <c r="A15" s="60"/>
      <c r="B15" s="61">
        <f t="shared" si="0"/>
        <v>6</v>
      </c>
      <c r="C15" s="62" t="s">
        <v>9</v>
      </c>
      <c r="D15" s="49" t="s">
        <v>128</v>
      </c>
      <c r="E15" s="63" t="s">
        <v>40</v>
      </c>
      <c r="F15" s="63" t="s">
        <v>52</v>
      </c>
      <c r="G15" s="63" t="s">
        <v>69</v>
      </c>
      <c r="H15" s="63" t="s">
        <v>77</v>
      </c>
      <c r="I15" s="63" t="s">
        <v>127</v>
      </c>
      <c r="J15" s="63" t="s">
        <v>94</v>
      </c>
      <c r="K15" s="63" t="s">
        <v>106</v>
      </c>
      <c r="L15" s="63">
        <v>11</v>
      </c>
      <c r="M15" s="37">
        <f t="shared" si="1"/>
        <v>110</v>
      </c>
      <c r="N15" s="37">
        <v>200</v>
      </c>
      <c r="O15" s="72" t="s">
        <v>126</v>
      </c>
      <c r="P15" s="38">
        <v>1.1000000000000001E-3</v>
      </c>
      <c r="Q15" s="64">
        <f t="shared" ref="Q15" si="4">P15*N15</f>
        <v>0.22</v>
      </c>
      <c r="R15" s="63"/>
      <c r="S15" s="65"/>
    </row>
    <row r="16" spans="1:19" s="66" customFormat="1" x14ac:dyDescent="0.25">
      <c r="A16" s="60"/>
      <c r="B16" s="67">
        <f>ROW(B16) - ROW($B$9)</f>
        <v>7</v>
      </c>
      <c r="C16" s="68" t="s">
        <v>10</v>
      </c>
      <c r="D16" s="69" t="s">
        <v>25</v>
      </c>
      <c r="E16" s="69" t="s">
        <v>41</v>
      </c>
      <c r="F16" s="69" t="s">
        <v>54</v>
      </c>
      <c r="G16" s="69" t="s">
        <v>70</v>
      </c>
      <c r="H16" s="69" t="s">
        <v>80</v>
      </c>
      <c r="I16" s="69" t="s">
        <v>127</v>
      </c>
      <c r="J16" s="69" t="s">
        <v>95</v>
      </c>
      <c r="K16" s="69" t="s">
        <v>109</v>
      </c>
      <c r="L16" s="69">
        <v>7</v>
      </c>
      <c r="M16" s="37">
        <f t="shared" si="1"/>
        <v>70</v>
      </c>
      <c r="N16" s="37">
        <v>100</v>
      </c>
      <c r="O16" s="72" t="s">
        <v>126</v>
      </c>
      <c r="P16" s="38">
        <v>5.5999999999999999E-3</v>
      </c>
      <c r="Q16" s="70">
        <f>P16*N16</f>
        <v>0.55999999999999994</v>
      </c>
      <c r="R16" s="69"/>
      <c r="S16" s="65"/>
    </row>
    <row r="17" spans="1:19" s="66" customFormat="1" ht="48" x14ac:dyDescent="0.25">
      <c r="A17" s="60"/>
      <c r="B17" s="61">
        <f t="shared" si="0"/>
        <v>8</v>
      </c>
      <c r="C17" s="62" t="s">
        <v>11</v>
      </c>
      <c r="D17" s="63" t="s">
        <v>26</v>
      </c>
      <c r="E17" s="49" t="s">
        <v>42</v>
      </c>
      <c r="F17" s="63" t="s">
        <v>125</v>
      </c>
      <c r="G17" s="63" t="s">
        <v>55</v>
      </c>
      <c r="H17" s="63" t="s">
        <v>81</v>
      </c>
      <c r="I17" s="63" t="s">
        <v>127</v>
      </c>
      <c r="J17" s="63" t="s">
        <v>96</v>
      </c>
      <c r="K17" s="63" t="s">
        <v>127</v>
      </c>
      <c r="L17" s="63">
        <v>1</v>
      </c>
      <c r="M17" s="37">
        <f t="shared" si="1"/>
        <v>10</v>
      </c>
      <c r="N17" s="49">
        <v>15</v>
      </c>
      <c r="O17" s="72" t="s">
        <v>126</v>
      </c>
      <c r="P17" s="50">
        <v>8.6599999999999996E-2</v>
      </c>
      <c r="Q17" s="64">
        <f t="shared" ref="Q17" si="5">P17*N17</f>
        <v>1.2989999999999999</v>
      </c>
      <c r="R17" s="63"/>
      <c r="S17" s="65"/>
    </row>
    <row r="18" spans="1:19" s="66" customFormat="1" ht="24" x14ac:dyDescent="0.25">
      <c r="A18" s="60"/>
      <c r="B18" s="67">
        <f>ROW(B18) - ROW($B$9)</f>
        <v>9</v>
      </c>
      <c r="C18" s="68" t="s">
        <v>12</v>
      </c>
      <c r="D18" s="69" t="s">
        <v>27</v>
      </c>
      <c r="E18" s="37" t="s">
        <v>43</v>
      </c>
      <c r="F18" s="69" t="s">
        <v>125</v>
      </c>
      <c r="G18" s="69" t="s">
        <v>56</v>
      </c>
      <c r="H18" s="69" t="s">
        <v>82</v>
      </c>
      <c r="I18" s="69" t="s">
        <v>127</v>
      </c>
      <c r="J18" s="69" t="s">
        <v>97</v>
      </c>
      <c r="K18" s="69" t="s">
        <v>127</v>
      </c>
      <c r="L18" s="69">
        <v>5</v>
      </c>
      <c r="M18" s="37">
        <f t="shared" si="1"/>
        <v>50</v>
      </c>
      <c r="N18" s="69">
        <v>55</v>
      </c>
      <c r="O18" s="73" t="s">
        <v>126</v>
      </c>
      <c r="P18" s="70">
        <v>0.16700000000000001</v>
      </c>
      <c r="Q18" s="70">
        <f>P18*N18</f>
        <v>9.1850000000000005</v>
      </c>
      <c r="R18" s="69"/>
      <c r="S18" s="65"/>
    </row>
    <row r="19" spans="1:19" s="59" customFormat="1" x14ac:dyDescent="0.25">
      <c r="A19" s="57"/>
      <c r="B19" s="46">
        <f t="shared" si="0"/>
        <v>10</v>
      </c>
      <c r="C19" s="51" t="s">
        <v>13</v>
      </c>
      <c r="D19" s="75" t="s">
        <v>28</v>
      </c>
      <c r="E19" s="75" t="s">
        <v>44</v>
      </c>
      <c r="F19" s="75" t="s">
        <v>127</v>
      </c>
      <c r="G19" s="75" t="s">
        <v>57</v>
      </c>
      <c r="H19" s="75" t="s">
        <v>127</v>
      </c>
      <c r="I19" s="75" t="s">
        <v>127</v>
      </c>
      <c r="J19" s="75" t="s">
        <v>127</v>
      </c>
      <c r="K19" s="75" t="s">
        <v>127</v>
      </c>
      <c r="L19" s="75">
        <v>1</v>
      </c>
      <c r="M19" s="75">
        <f t="shared" si="1"/>
        <v>10</v>
      </c>
      <c r="N19" s="75" t="s">
        <v>127</v>
      </c>
      <c r="O19" s="75" t="s">
        <v>127</v>
      </c>
      <c r="P19" s="76" t="s">
        <v>127</v>
      </c>
      <c r="Q19" s="76" t="s">
        <v>127</v>
      </c>
      <c r="R19" s="75"/>
      <c r="S19" s="77"/>
    </row>
    <row r="20" spans="1:19" s="66" customFormat="1" x14ac:dyDescent="0.25">
      <c r="A20" s="60"/>
      <c r="B20" s="61">
        <f t="shared" si="0"/>
        <v>11</v>
      </c>
      <c r="C20" s="62" t="s">
        <v>14</v>
      </c>
      <c r="D20" s="63" t="s">
        <v>29</v>
      </c>
      <c r="E20" s="63" t="s">
        <v>45</v>
      </c>
      <c r="F20" s="63" t="s">
        <v>58</v>
      </c>
      <c r="G20" s="63" t="s">
        <v>71</v>
      </c>
      <c r="H20" s="63" t="s">
        <v>83</v>
      </c>
      <c r="I20" s="63"/>
      <c r="J20" s="63" t="s">
        <v>98</v>
      </c>
      <c r="K20" s="63" t="s">
        <v>111</v>
      </c>
      <c r="L20" s="63">
        <v>1</v>
      </c>
      <c r="M20" s="37">
        <f t="shared" si="1"/>
        <v>10</v>
      </c>
      <c r="N20" s="63">
        <v>50</v>
      </c>
      <c r="O20" s="74" t="s">
        <v>126</v>
      </c>
      <c r="P20" s="64">
        <v>3.5999999999999999E-3</v>
      </c>
      <c r="Q20" s="64">
        <f t="shared" ref="Q20" si="6">P20*N20</f>
        <v>0.18</v>
      </c>
      <c r="R20" s="63"/>
      <c r="S20" s="65"/>
    </row>
    <row r="21" spans="1:19" s="66" customFormat="1" x14ac:dyDescent="0.25">
      <c r="A21" s="60"/>
      <c r="B21" s="67">
        <f>ROW(B21) - ROW($B$9)</f>
        <v>12</v>
      </c>
      <c r="C21" s="68" t="s">
        <v>14</v>
      </c>
      <c r="D21" s="69" t="s">
        <v>129</v>
      </c>
      <c r="E21" s="69" t="s">
        <v>46</v>
      </c>
      <c r="F21" s="69" t="s">
        <v>59</v>
      </c>
      <c r="G21" s="69" t="s">
        <v>72</v>
      </c>
      <c r="H21" s="69" t="s">
        <v>77</v>
      </c>
      <c r="I21" s="69" t="s">
        <v>127</v>
      </c>
      <c r="J21" s="69" t="s">
        <v>99</v>
      </c>
      <c r="K21" s="69" t="s">
        <v>110</v>
      </c>
      <c r="L21" s="69">
        <v>5</v>
      </c>
      <c r="M21" s="37">
        <f t="shared" si="1"/>
        <v>50</v>
      </c>
      <c r="N21" s="49">
        <v>100</v>
      </c>
      <c r="O21" s="72" t="s">
        <v>126</v>
      </c>
      <c r="P21" s="50">
        <v>1E-3</v>
      </c>
      <c r="Q21" s="70">
        <f>P21*N21</f>
        <v>0.1</v>
      </c>
      <c r="R21" s="69"/>
      <c r="S21" s="65"/>
    </row>
    <row r="22" spans="1:19" s="66" customFormat="1" x14ac:dyDescent="0.25">
      <c r="A22" s="60"/>
      <c r="B22" s="61">
        <f t="shared" si="0"/>
        <v>13</v>
      </c>
      <c r="C22" s="62" t="s">
        <v>15</v>
      </c>
      <c r="D22" s="63" t="s">
        <v>30</v>
      </c>
      <c r="E22" s="63" t="s">
        <v>47</v>
      </c>
      <c r="F22" s="63" t="s">
        <v>60</v>
      </c>
      <c r="G22" s="63" t="s">
        <v>73</v>
      </c>
      <c r="H22" s="63" t="s">
        <v>84</v>
      </c>
      <c r="I22" s="63" t="s">
        <v>127</v>
      </c>
      <c r="J22" s="63"/>
      <c r="K22" s="63" t="s">
        <v>127</v>
      </c>
      <c r="L22" s="63">
        <v>1</v>
      </c>
      <c r="M22" s="37">
        <f t="shared" si="1"/>
        <v>10</v>
      </c>
      <c r="N22" s="63"/>
      <c r="O22" s="63"/>
      <c r="P22" s="64"/>
      <c r="Q22" s="64">
        <f t="shared" ref="Q22" si="7">P22*N22</f>
        <v>0</v>
      </c>
      <c r="R22" s="63"/>
      <c r="S22" s="65"/>
    </row>
    <row r="23" spans="1:19" s="66" customFormat="1" x14ac:dyDescent="0.25">
      <c r="A23" s="60"/>
      <c r="B23" s="67">
        <f>ROW(B23) - ROW($B$9)</f>
        <v>14</v>
      </c>
      <c r="C23" s="68" t="s">
        <v>16</v>
      </c>
      <c r="D23" s="69" t="s">
        <v>31</v>
      </c>
      <c r="E23" s="69" t="s">
        <v>48</v>
      </c>
      <c r="F23" s="69" t="s">
        <v>61</v>
      </c>
      <c r="G23" s="69" t="s">
        <v>74</v>
      </c>
      <c r="H23" s="69" t="s">
        <v>85</v>
      </c>
      <c r="I23" s="69" t="s">
        <v>127</v>
      </c>
      <c r="J23" s="69" t="s">
        <v>100</v>
      </c>
      <c r="K23" s="69" t="s">
        <v>127</v>
      </c>
      <c r="L23" s="69">
        <v>1</v>
      </c>
      <c r="M23" s="37">
        <f t="shared" si="1"/>
        <v>10</v>
      </c>
      <c r="N23" s="69">
        <v>11</v>
      </c>
      <c r="O23" s="73" t="s">
        <v>126</v>
      </c>
      <c r="P23" s="70">
        <v>0.31190000000000001</v>
      </c>
      <c r="Q23" s="70">
        <f>P23*N23</f>
        <v>3.4309000000000003</v>
      </c>
      <c r="R23" s="69"/>
      <c r="S23" s="65"/>
    </row>
    <row r="24" spans="1:19" s="66" customFormat="1" x14ac:dyDescent="0.25">
      <c r="A24" s="60"/>
      <c r="B24" s="61">
        <f t="shared" si="0"/>
        <v>15</v>
      </c>
      <c r="C24" s="62" t="s">
        <v>17</v>
      </c>
      <c r="D24" s="63" t="s">
        <v>32</v>
      </c>
      <c r="E24" s="63" t="s">
        <v>49</v>
      </c>
      <c r="F24" s="63" t="s">
        <v>125</v>
      </c>
      <c r="G24" s="63" t="s">
        <v>62</v>
      </c>
      <c r="H24" s="63" t="s">
        <v>86</v>
      </c>
      <c r="I24" s="63" t="s">
        <v>127</v>
      </c>
      <c r="J24" s="63" t="s">
        <v>101</v>
      </c>
      <c r="K24" s="63" t="s">
        <v>127</v>
      </c>
      <c r="L24" s="63">
        <v>4</v>
      </c>
      <c r="M24" s="37">
        <f t="shared" si="1"/>
        <v>40</v>
      </c>
      <c r="N24" s="63">
        <v>41</v>
      </c>
      <c r="O24" s="74" t="s">
        <v>126</v>
      </c>
      <c r="P24" s="64">
        <v>1.7676000000000001</v>
      </c>
      <c r="Q24" s="64">
        <f t="shared" ref="Q24" si="8">P24*N24</f>
        <v>72.471600000000009</v>
      </c>
      <c r="R24" s="63"/>
      <c r="S24" s="65"/>
    </row>
    <row r="25" spans="1:19" s="66" customFormat="1" ht="15.75" thickBot="1" x14ac:dyDescent="0.3">
      <c r="A25" s="60"/>
      <c r="B25" s="67">
        <f>ROW(B25) - ROW($B$9)</f>
        <v>16</v>
      </c>
      <c r="C25" s="68" t="s">
        <v>18</v>
      </c>
      <c r="D25" s="69" t="s">
        <v>33</v>
      </c>
      <c r="E25" s="69" t="s">
        <v>50</v>
      </c>
      <c r="F25" s="69" t="s">
        <v>125</v>
      </c>
      <c r="G25" s="69" t="s">
        <v>75</v>
      </c>
      <c r="H25" s="69" t="s">
        <v>87</v>
      </c>
      <c r="I25" s="69" t="s">
        <v>127</v>
      </c>
      <c r="J25" s="69" t="s">
        <v>102</v>
      </c>
      <c r="K25" s="69" t="s">
        <v>112</v>
      </c>
      <c r="L25" s="69">
        <v>1</v>
      </c>
      <c r="M25" s="37">
        <f t="shared" si="1"/>
        <v>10</v>
      </c>
      <c r="N25" s="69">
        <v>11</v>
      </c>
      <c r="O25" s="73" t="s">
        <v>126</v>
      </c>
      <c r="P25" s="70">
        <v>0.86070000000000002</v>
      </c>
      <c r="Q25" s="70">
        <f>P25*N25</f>
        <v>9.4677000000000007</v>
      </c>
      <c r="R25" s="69"/>
      <c r="S25" s="71"/>
    </row>
    <row r="26" spans="1:19" ht="36.75" thickBot="1" x14ac:dyDescent="0.3">
      <c r="A26" s="1"/>
      <c r="B26" s="67">
        <f t="shared" ref="B26:B27" si="9">ROW(B26) - ROW($B$9)</f>
        <v>17</v>
      </c>
      <c r="C26" s="68" t="s">
        <v>134</v>
      </c>
      <c r="D26" s="69" t="s">
        <v>141</v>
      </c>
      <c r="E26" s="37" t="s">
        <v>136</v>
      </c>
      <c r="F26" s="69" t="s">
        <v>127</v>
      </c>
      <c r="G26" s="37" t="s">
        <v>135</v>
      </c>
      <c r="H26" s="69" t="s">
        <v>137</v>
      </c>
      <c r="I26" s="63" t="s">
        <v>127</v>
      </c>
      <c r="J26" s="69" t="s">
        <v>138</v>
      </c>
      <c r="K26" s="69" t="s">
        <v>127</v>
      </c>
      <c r="L26" s="69">
        <v>1</v>
      </c>
      <c r="M26" s="37">
        <f t="shared" si="1"/>
        <v>10</v>
      </c>
      <c r="N26" s="69">
        <v>11</v>
      </c>
      <c r="O26" s="73" t="s">
        <v>126</v>
      </c>
      <c r="P26" s="70">
        <v>0.17219999999999999</v>
      </c>
      <c r="Q26" s="70">
        <f>P26*N26</f>
        <v>1.8941999999999999</v>
      </c>
      <c r="R26" s="69"/>
      <c r="S26" s="71"/>
    </row>
    <row r="27" spans="1:19" ht="36.75" thickBot="1" x14ac:dyDescent="0.3">
      <c r="A27" s="1"/>
      <c r="B27" s="67">
        <f t="shared" si="9"/>
        <v>18</v>
      </c>
      <c r="C27" s="68" t="s">
        <v>134</v>
      </c>
      <c r="D27" s="69" t="s">
        <v>142</v>
      </c>
      <c r="E27" s="37" t="s">
        <v>140</v>
      </c>
      <c r="F27" s="69" t="s">
        <v>127</v>
      </c>
      <c r="G27" s="69" t="s">
        <v>139</v>
      </c>
      <c r="H27" s="69" t="s">
        <v>143</v>
      </c>
      <c r="I27" s="69" t="s">
        <v>127</v>
      </c>
      <c r="J27" s="69" t="s">
        <v>144</v>
      </c>
      <c r="K27" s="69" t="s">
        <v>127</v>
      </c>
      <c r="L27" s="69">
        <v>1</v>
      </c>
      <c r="M27" s="37">
        <f t="shared" si="1"/>
        <v>10</v>
      </c>
      <c r="N27" s="69">
        <v>15</v>
      </c>
      <c r="O27" s="73" t="s">
        <v>126</v>
      </c>
      <c r="P27" s="70">
        <v>8.0600000000000005E-2</v>
      </c>
      <c r="Q27" s="70">
        <f>P27*N27</f>
        <v>1.2090000000000001</v>
      </c>
      <c r="R27" s="69"/>
      <c r="S27" s="71"/>
    </row>
    <row r="28" spans="1:19" ht="19.5" thickBot="1" x14ac:dyDescent="0.3">
      <c r="A28" s="1"/>
      <c r="B28" s="39"/>
      <c r="C28" s="40"/>
      <c r="D28" s="41"/>
      <c r="E28" s="42"/>
      <c r="F28" s="43"/>
      <c r="G28" s="44"/>
      <c r="H28" s="43"/>
      <c r="I28" s="44"/>
      <c r="J28" s="43"/>
      <c r="K28" s="44"/>
      <c r="L28" s="44"/>
      <c r="M28" s="44"/>
      <c r="N28" s="82" t="s">
        <v>5</v>
      </c>
      <c r="O28" s="83"/>
      <c r="P28" s="83"/>
      <c r="Q28" s="47">
        <f>SUM(Q10:Q25)</f>
        <v>99.918200000000013</v>
      </c>
      <c r="R28" s="84"/>
      <c r="S28" s="85"/>
    </row>
    <row r="29" spans="1:19" ht="19.5" thickBot="1" x14ac:dyDescent="0.3">
      <c r="A29" s="1"/>
      <c r="B29" s="25"/>
      <c r="C29" s="36"/>
      <c r="D29" s="9"/>
      <c r="E29" s="10"/>
      <c r="F29" s="10"/>
      <c r="G29" s="10"/>
      <c r="H29" s="10"/>
      <c r="I29" s="10"/>
      <c r="J29" s="10"/>
      <c r="K29" s="10"/>
      <c r="L29" s="10"/>
      <c r="M29" s="10"/>
      <c r="N29" s="82" t="s">
        <v>6</v>
      </c>
      <c r="O29" s="83"/>
      <c r="P29" s="83"/>
      <c r="Q29" s="48">
        <f>Q28/10</f>
        <v>9.9918200000000006</v>
      </c>
      <c r="R29" s="86"/>
      <c r="S29" s="87"/>
    </row>
  </sheetData>
  <mergeCells count="5">
    <mergeCell ref="K1:S1"/>
    <mergeCell ref="S3:S8"/>
    <mergeCell ref="N28:P28"/>
    <mergeCell ref="R28:S29"/>
    <mergeCell ref="N29:P29"/>
  </mergeCells>
  <hyperlinks>
    <hyperlink ref="O10" r:id="rId1"/>
    <hyperlink ref="O12" r:id="rId2"/>
    <hyperlink ref="O15" r:id="rId3"/>
    <hyperlink ref="O16" r:id="rId4"/>
    <hyperlink ref="O17" r:id="rId5"/>
    <hyperlink ref="O21" r:id="rId6"/>
    <hyperlink ref="O23" r:id="rId7"/>
    <hyperlink ref="O24" r:id="rId8"/>
    <hyperlink ref="O25" r:id="rId9"/>
    <hyperlink ref="O18" r:id="rId10"/>
    <hyperlink ref="O11" r:id="rId11"/>
    <hyperlink ref="O13" r:id="rId12"/>
    <hyperlink ref="O14" r:id="rId13"/>
    <hyperlink ref="O20" r:id="rId14"/>
    <hyperlink ref="O26" r:id="rId15"/>
    <hyperlink ref="O27" r:id="rId16"/>
  </hyperlinks>
  <pageMargins left="0.7" right="0.7" top="0.75" bottom="0.75" header="0.3" footer="0.3"/>
  <pageSetup orientation="portrait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2023-07-13T17:11:58Z</dcterms:modified>
</cp:coreProperties>
</file>