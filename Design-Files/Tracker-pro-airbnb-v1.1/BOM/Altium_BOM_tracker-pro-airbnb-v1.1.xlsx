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3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<sst xmlns="http://schemas.openxmlformats.org/spreadsheetml/2006/main" count="1004" uniqueCount="645">
  <si>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</si>
  <si>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</si>
  <si>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</si>
  <si>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</si>
  <si>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</si>
  <si>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</si>
  <si>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</si>
  <si>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</si>
  <si>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Link</t>
  </si>
  <si>
    <t>Quantity</t>
  </si>
  <si>
    <t>Remarks</t>
  </si>
  <si>
    <t>Bridge Rectifier</t>
  </si>
  <si>
    <t>BR1, BR2</t>
  </si>
  <si>
    <t>30A 950mV@1A 1A 800V TBS Bridge Rectifiers ROHS</t>
  </si>
  <si>
    <t>TB8S</t>
  </si>
  <si>
    <t>MDD</t>
  </si>
  <si>
    <t>Capacitor</t>
  </si>
  <si>
    <t>C1, C4, C6, C10, C14, C18, C20, C25, C26, C30, C31, C36</t>
  </si>
  <si>
    <t>CAP CER 10UF 10V X5R 0402</t>
  </si>
  <si>
    <t>Cap-0402</t>
  </si>
  <si>
    <t>CC0402MRX5R6BB106</t>
  </si>
  <si>
    <t>Yageo</t>
  </si>
  <si>
    <t>10uF</t>
  </si>
  <si>
    <t>C2</t>
  </si>
  <si>
    <t>CAP CER 4700PF 1KV X7R 1206</t>
  </si>
  <si>
    <t>Cap-1206</t>
  </si>
  <si>
    <t>CC1206KKX7RCBB472</t>
  </si>
  <si>
    <t>4.7nF</t>
  </si>
  <si>
    <t>C3, C5, C7, C8, C9, C11, C12, C13, C15, C16, C17, C24, C28, C29, C33, C34, C35, C37, C42, C45, C47, C48, C49, C50, C51, C56, C59, C60, C61, C73, C77, C79, C81, C82, C83, C86, C92, C93, C98, C116, C117, C120</t>
  </si>
  <si>
    <t>CAP CER 0.1UF 50V X5R 0402</t>
  </si>
  <si>
    <t>C1005X5R1H104K050BB</t>
  </si>
  <si>
    <t>TDK</t>
  </si>
  <si>
    <t>0.1uF</t>
  </si>
  <si>
    <t>C19</t>
  </si>
  <si>
    <t>CAP TANT 100UF 20% 10V 1411</t>
  </si>
  <si>
    <t>Case-B</t>
  </si>
  <si>
    <t>TAJB107M010RNJ</t>
  </si>
  <si>
    <t>Kyocera AVX</t>
  </si>
  <si>
    <t>100uF</t>
  </si>
  <si>
    <t>C21, C22</t>
  </si>
  <si>
    <t>25V 22uF X5R ±20% 0805 Multilayer Ceramic Capacitors MLCC - SMD/SMT ROHS</t>
  </si>
  <si>
    <t>Cap-0805</t>
  </si>
  <si>
    <t>CS2012X5R226M250NRE</t>
  </si>
  <si>
    <t>Samwha</t>
  </si>
  <si>
    <t>22uF</t>
  </si>
  <si>
    <t>C23</t>
  </si>
  <si>
    <t>CAP TANT 33UF 10% 10V 1411</t>
  </si>
  <si>
    <t>TAJB336K010RNJ</t>
  </si>
  <si>
    <t>33uF</t>
  </si>
  <si>
    <t>C27, C32, C54, C57, C87, C88, C89, C94, C95, C99, C102, C103, C104, C105, C107, C109, C110</t>
  </si>
  <si>
    <t>CAP CER 1UF 10V X5R 0402</t>
  </si>
  <si>
    <t>CC0402KRX5R6BB105</t>
  </si>
  <si>
    <t>1uF</t>
  </si>
  <si>
    <t>C38</t>
  </si>
  <si>
    <t>CAP CER 15PF 50V C0G/NPO 0603</t>
  </si>
  <si>
    <t>Cap-0603</t>
  </si>
  <si>
    <t>CC0603JRNPO9BN150</t>
  </si>
  <si>
    <t>15pF</t>
  </si>
  <si>
    <t>C39, C68, C76</t>
  </si>
  <si>
    <t>CAP CER 10000PF 50V C0G/NPO 0603</t>
  </si>
  <si>
    <t>CC0603JRNPO9BN103</t>
  </si>
  <si>
    <t>10nF</t>
  </si>
  <si>
    <t>C40, C46</t>
  </si>
  <si>
    <t>CAP CER 10PF 25V C0G 0201</t>
  </si>
  <si>
    <t>CAP-0201</t>
  </si>
  <si>
    <t>CGA1A2C0G1E100D030BA</t>
  </si>
  <si>
    <t>10pF</t>
  </si>
  <si>
    <t>C41, C44</t>
  </si>
  <si>
    <t>CAP CER 20PF 50V C0G/NPO 0603</t>
  </si>
  <si>
    <t>CC0603JRNPO9BN200</t>
  </si>
  <si>
    <t>20pF</t>
  </si>
  <si>
    <t>C43</t>
  </si>
  <si>
    <t>10uF 10V 8Ω@100kHz ±10% CASE-A-3216 Tantalum Capacitors ROHS</t>
  </si>
  <si>
    <t>Case-A</t>
  </si>
  <si>
    <t>CA45-A-10V-10uF-K</t>
  </si>
  <si>
    <t>CEC(Shenzhen Zhenhua XinYun Elec)</t>
  </si>
  <si>
    <t>C52</t>
  </si>
  <si>
    <t>CAP CER 2.2UF 50V X5R 0805</t>
  </si>
  <si>
    <t>CC0805KKX5R9BB225</t>
  </si>
  <si>
    <t>2.2uF</t>
  </si>
  <si>
    <t>C53, C55</t>
  </si>
  <si>
    <t>CAP CER 18PF 50V C0G/NP0 0603</t>
  </si>
  <si>
    <t>CL10C180JB8NNNC</t>
  </si>
  <si>
    <t>Samsung</t>
  </si>
  <si>
    <t>18pF</t>
  </si>
  <si>
    <t>C58, C108, C111</t>
  </si>
  <si>
    <t>CAP CER 22UF 10V X5R 0603</t>
  </si>
  <si>
    <t>CC0603MRX5R6BB226</t>
  </si>
  <si>
    <t>C62</t>
  </si>
  <si>
    <t>CAP CER 1000PF 2KV X7R 1206</t>
  </si>
  <si>
    <t>CC1206KKX7RDBB102</t>
  </si>
  <si>
    <t>1000pF</t>
  </si>
  <si>
    <t>C63, C71</t>
  </si>
  <si>
    <t>CAP CER 0.1UF 100V X7R 0603</t>
  </si>
  <si>
    <t>CC0603KRX7R0BB104</t>
  </si>
  <si>
    <t>C64</t>
  </si>
  <si>
    <t>CAP CER 0.022UF 50V X7R 0603</t>
  </si>
  <si>
    <t>CC0603KRX7R9BB223</t>
  </si>
  <si>
    <t>22nF</t>
  </si>
  <si>
    <t>C65, C66</t>
  </si>
  <si>
    <t>50V 6.8nF X7R ±10% 0603</t>
  </si>
  <si>
    <t>0603B682K500NT</t>
  </si>
  <si>
    <t>FH</t>
  </si>
  <si>
    <t>6.8nF</t>
  </si>
  <si>
    <t>C67</t>
  </si>
  <si>
    <t>15uF 63V ±20% SMD,D6.3xL5.7mm Aluminum Electrolytic Capacitors - SMD ROHS</t>
  </si>
  <si>
    <t>VMMC0571J150MV</t>
  </si>
  <si>
    <t>Ymin</t>
  </si>
  <si>
    <t>15uF</t>
  </si>
  <si>
    <t>C69, C70</t>
  </si>
  <si>
    <t>CAP CER 22UF 25V X5R 0805</t>
  </si>
  <si>
    <t>CC0805MKX5R8BB226</t>
  </si>
  <si>
    <t>C72, C84</t>
  </si>
  <si>
    <t>CAP CER 10UF 16V X5R 0603</t>
  </si>
  <si>
    <t>CC0603KRX5R7BB106</t>
  </si>
  <si>
    <t>C74, C80, C85</t>
  </si>
  <si>
    <t>CAP CER 12PF 50V C0G/NPO 0603</t>
  </si>
  <si>
    <t>CC0603J*NPO9B*120</t>
  </si>
  <si>
    <t>12pF</t>
  </si>
  <si>
    <t>C75</t>
  </si>
  <si>
    <t>CAP TANT 330UF 20% 16V 2917</t>
  </si>
  <si>
    <t>Case-E</t>
  </si>
  <si>
    <t>TAJE337M016RNJ</t>
  </si>
  <si>
    <t>330uF</t>
  </si>
  <si>
    <t>C78</t>
  </si>
  <si>
    <t>CAP CER 4.7UF 10V X5R 0603</t>
  </si>
  <si>
    <t>CC0603KRX5R6BB475</t>
  </si>
  <si>
    <t>4.7uF</t>
  </si>
  <si>
    <t>C90, C91, C96, C97</t>
  </si>
  <si>
    <t>CAP CER 0.1UF 10V X5R 0402</t>
  </si>
  <si>
    <t>CC0402KRX5R6BB104</t>
  </si>
  <si>
    <t>C100</t>
  </si>
  <si>
    <t>CAP CER 10000PF 25V X7R 0402</t>
  </si>
  <si>
    <t>CC0402KRX7R8BB103</t>
  </si>
  <si>
    <t>C101</t>
  </si>
  <si>
    <t>CAP CER 0.47UF 50V X5R 0402</t>
  </si>
  <si>
    <t>UMK105ABJ474KV-F</t>
  </si>
  <si>
    <t>Taiyo Yuden</t>
  </si>
  <si>
    <t>0.47uF</t>
  </si>
  <si>
    <t>C106</t>
  </si>
  <si>
    <t>CAP CER 0.1UF 50V X7R 0402</t>
  </si>
  <si>
    <t>CL05B104KB54PNC</t>
  </si>
  <si>
    <t>C112, C113, C114, C115</t>
  </si>
  <si>
    <t>CL05A106MP5NUNC</t>
  </si>
  <si>
    <t>C118</t>
  </si>
  <si>
    <t>CAP CER 2.7PF 50V C0G/NPO 0201</t>
  </si>
  <si>
    <t>CC0201CRNPO9BN2R7</t>
  </si>
  <si>
    <t>2.7pF</t>
  </si>
  <si>
    <t>C119</t>
  </si>
  <si>
    <t>CAP CER 4.7PF 50V C0G/NPO 0201</t>
  </si>
  <si>
    <t>CC0201BRNPO9BN4R7</t>
  </si>
  <si>
    <t>4.7pF</t>
  </si>
  <si>
    <t>C121</t>
  </si>
  <si>
    <t xml:space="preserve">100uF 100V 280mA@120Hz ±20% SMD,D12.5xL13.5mm Aluminum Electrolytic Capacitors </t>
  </si>
  <si>
    <t>RVT2A101M1213</t>
  </si>
  <si>
    <t xml:space="preserve">
ROQANG</t>
  </si>
  <si>
    <t>Diode</t>
  </si>
  <si>
    <t>D1</t>
  </si>
  <si>
    <t>ESD Suppressor TVS 5.5V 4-Pin(3+Tab) SOT-143 T/R</t>
  </si>
  <si>
    <t>SOT-143-4_</t>
  </si>
  <si>
    <t>SP0503BAHTG</t>
  </si>
  <si>
    <t>Littelfuse</t>
  </si>
  <si>
    <t>D2</t>
  </si>
  <si>
    <t>SOD-123FL Schottky Barrier Diodes (SBD) ROHS</t>
  </si>
  <si>
    <t>SOD-123FL</t>
  </si>
  <si>
    <t>PMEG4030ER</t>
  </si>
  <si>
    <t>Shikues</t>
  </si>
  <si>
    <t>DNP</t>
  </si>
  <si>
    <t>D3, D8</t>
  </si>
  <si>
    <t>D4</t>
  </si>
  <si>
    <t>0.5mA@40V 40V Single 3A 0.55V@3A SMA(DO-214AC) Schottky Barrier Diodes (SBD) ROHS</t>
  </si>
  <si>
    <t>SMA</t>
  </si>
  <si>
    <t>SS34</t>
  </si>
  <si>
    <t>D5</t>
  </si>
  <si>
    <t>16A 20V 7V 5V@Max Unidirectional SOT-23 TVS ROHS</t>
  </si>
  <si>
    <t>Sot-23</t>
  </si>
  <si>
    <t>ESD5302F-3/TR</t>
  </si>
  <si>
    <t>WILLSEMI</t>
  </si>
  <si>
    <t>D6</t>
  </si>
  <si>
    <t>93.6V 64.4V 58V SMA(DO-214AC) TVS ROHS</t>
  </si>
  <si>
    <t>SMAJ58A</t>
  </si>
  <si>
    <t>Yangzhou Yangjie Elec Tech</t>
  </si>
  <si>
    <t>D7</t>
  </si>
  <si>
    <t>SCHOTTKY DIODE SMB 100V 5A</t>
  </si>
  <si>
    <t>SMB_</t>
  </si>
  <si>
    <t>SS510B</t>
  </si>
  <si>
    <t>Fuse</t>
  </si>
  <si>
    <t>F1, F2</t>
  </si>
  <si>
    <t>6V 2A 50A 1W -40℃~+85℃ 4A 4mΩ 5s 45mΩ 0805 Resettable Fuses ROHS</t>
  </si>
  <si>
    <t>Fuse-0805</t>
  </si>
  <si>
    <t>BSMD0805L-200</t>
  </si>
  <si>
    <t>BHFUSE</t>
  </si>
  <si>
    <t>Ferrite Bead</t>
  </si>
  <si>
    <t>FB1, FB3, FB4, FB7, FB8</t>
  </si>
  <si>
    <t>FERRITE BEAD 120 OHM 0402 1LN</t>
  </si>
  <si>
    <t>IND-0402</t>
  </si>
  <si>
    <t>BLM15PD121SN1D</t>
  </si>
  <si>
    <t>Murata</t>
  </si>
  <si>
    <t>FB2, FB5, FB6</t>
  </si>
  <si>
    <t>FERRITE BEAD 120 OHM 0603 1LN</t>
  </si>
  <si>
    <t>IND-0603 (1608 Metric)</t>
  </si>
  <si>
    <t>BLM18SG121TN1D</t>
  </si>
  <si>
    <t>FB9, FB10</t>
  </si>
  <si>
    <t>100mΩ ±25% 600Ω@100MHz 0805 Ferrite Beads ROHS</t>
  </si>
  <si>
    <t>Ind-0805</t>
  </si>
  <si>
    <t>CBM201209U601T</t>
  </si>
  <si>
    <t>FB11, FB12, FB13, FB14, FB15, FB16, FB17</t>
  </si>
  <si>
    <t>100MHz</t>
  </si>
  <si>
    <t>USB Connector</t>
  </si>
  <si>
    <t>J1</t>
  </si>
  <si>
    <t>250mA 1 16 Female Type-C SMD USB Connectors ROHS</t>
  </si>
  <si>
    <t>TYPE-C-31-M-12_</t>
  </si>
  <si>
    <t>TYPE-C-31-M-12</t>
  </si>
  <si>
    <t>Korean Hroparts Elec</t>
  </si>
  <si>
    <t>Right Angle JST</t>
  </si>
  <si>
    <t>J2</t>
  </si>
  <si>
    <t>1x2P 1 2mm Male pin 2 -25℃~+85℃ 2A Surface Mount SMD,P=2mm Wire To Board / Wire To Wire Connector ROHS</t>
  </si>
  <si>
    <t>WAFER-PH2.0-2PWB</t>
  </si>
  <si>
    <t>XUNPU</t>
  </si>
  <si>
    <t>Wire To Wire Connector</t>
  </si>
  <si>
    <t>J3</t>
  </si>
  <si>
    <t>CONN HEADER SMD R/A 7POS 1.25MM</t>
  </si>
  <si>
    <t>53261-0771</t>
  </si>
  <si>
    <t>Molex</t>
  </si>
  <si>
    <t>Pogo Connector</t>
  </si>
  <si>
    <t>J4, J9</t>
  </si>
  <si>
    <t>Pogo Pad 2.5mm 4 Pin</t>
  </si>
  <si>
    <t>Pogo 4 Pin</t>
  </si>
  <si>
    <t>POGO Connector 4 Pin</t>
  </si>
  <si>
    <t>R/A Male Blade Header</t>
  </si>
  <si>
    <t>J5</t>
  </si>
  <si>
    <t>CONN HEADER SMD R/A 8POS 1.25MM</t>
  </si>
  <si>
    <t>53261-0871</t>
  </si>
  <si>
    <t>Header</t>
  </si>
  <si>
    <t>J7</t>
  </si>
  <si>
    <t>2.54mm Plugin 3A bronze -40℃~+105℃ Straight 1x4P Top 4 Square Holes Plugin,P=2.54mm Female Headers ROHS</t>
  </si>
  <si>
    <t>HDR1X4 Female</t>
  </si>
  <si>
    <t>C2718488</t>
  </si>
  <si>
    <t>BOOMELE</t>
  </si>
  <si>
    <t>Male Header</t>
  </si>
  <si>
    <t>J8, J10, J11</t>
  </si>
  <si>
    <t>CONN HEADER VERT 3POS 2.54MM</t>
  </si>
  <si>
    <t>HDR1X3_</t>
  </si>
  <si>
    <t>Wurth Electronics</t>
  </si>
  <si>
    <t>Connector</t>
  </si>
  <si>
    <t>J12</t>
  </si>
  <si>
    <t>1x6P SH 1 1mm 6 SMD,P=1mm Wire To Board / Wire To Wire Connector ROHS</t>
  </si>
  <si>
    <t>Voltlink Target</t>
  </si>
  <si>
    <t>C145963</t>
  </si>
  <si>
    <t>Connector RJ45</t>
  </si>
  <si>
    <t>J13</t>
  </si>
  <si>
    <t>Low Profile 1x1 Port Tab-UP RJ45 Connector with Magnetics Module and LED For 10/100 Base T PoE Application</t>
  </si>
  <si>
    <t>HR915302AE</t>
  </si>
  <si>
    <t>HanRun</t>
  </si>
  <si>
    <t>Inductor</t>
  </si>
  <si>
    <t>L1</t>
  </si>
  <si>
    <t>FIXED IND 10UH 1A 540 MOHM SMD</t>
  </si>
  <si>
    <t>IND-1008 (2520 Metric)</t>
  </si>
  <si>
    <t>VLS252012HBX-100M-1</t>
  </si>
  <si>
    <t>10uH</t>
  </si>
  <si>
    <t>L2</t>
  </si>
  <si>
    <t>22uH ±20% SMD Power Inductors ROHS</t>
  </si>
  <si>
    <t>SMRH74-220MT</t>
  </si>
  <si>
    <t>SXN(Shun Xiang Nuo Elec)</t>
  </si>
  <si>
    <t>22uH</t>
  </si>
  <si>
    <t>L3</t>
  </si>
  <si>
    <t>3A 33uH ±20% 64.8mΩ SMD,12.3x12.3mm Inductors (SMD) ROHS</t>
  </si>
  <si>
    <t>CYH127-33UH</t>
  </si>
  <si>
    <t>SHOU HAN</t>
  </si>
  <si>
    <t>33uH</t>
  </si>
  <si>
    <t>L4</t>
  </si>
  <si>
    <t>FIXED IND 2NH 600MA 100 MOHM SMD</t>
  </si>
  <si>
    <t>IND-0201</t>
  </si>
  <si>
    <t>MLG0603P2N0CT000</t>
  </si>
  <si>
    <t>2nH</t>
  </si>
  <si>
    <t>L5</t>
  </si>
  <si>
    <t>FIXED IND 1.6NH 1A 50 MOHM SMD</t>
  </si>
  <si>
    <t>LQP03HQ1N6B02D</t>
  </si>
  <si>
    <t>1.6nH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</si>
  <si>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</si>
  <si>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</si>
  <si>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</si>
  <si>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</si>
  <si>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</si>
  <si>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</si>
  <si>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Emerald</t>
  </si>
  <si>
    <t>LED2, LED3</t>
  </si>
  <si>
    <t>RED LED 0603 Light Emitting Diodes</t>
  </si>
  <si>
    <t>NCD0603R3</t>
  </si>
  <si>
    <t>RED</t>
  </si>
  <si>
    <t>LED4</t>
  </si>
  <si>
    <t>LED GREEN CLEAR CHIP SMD</t>
  </si>
  <si>
    <t>LED-0402</t>
  </si>
  <si>
    <t>XZVG68W-2</t>
  </si>
  <si>
    <t>SunLED</t>
  </si>
  <si>
    <t>RGB LED</t>
  </si>
  <si>
    <t>LED5, LED6, LED7, LED8</t>
  </si>
  <si>
    <t>5mA -40℃~+80℃ RGB SMD,2x2mm Light Emitting Diodes (LED) ROHS</t>
  </si>
  <si>
    <t>SK6812-EC20</t>
  </si>
  <si>
    <t>OPSCO Optoelectronics</t>
  </si>
  <si>
    <t>Buzzer</t>
  </si>
  <si>
    <t>LS1</t>
  </si>
  <si>
    <t>BUZZER 9V 40MM TH</t>
  </si>
  <si>
    <t>EFM-620</t>
  </si>
  <si>
    <t>East Electronics</t>
  </si>
  <si>
    <t>Mosfet</t>
  </si>
  <si>
    <t>Q1</t>
  </si>
  <si>
    <t>SOT-23-3 MOSFETs ROHS</t>
  </si>
  <si>
    <t>SOT-23</t>
  </si>
  <si>
    <t>SI2323DS</t>
  </si>
  <si>
    <t>TECH PUBLIC</t>
  </si>
  <si>
    <t>Do not place</t>
  </si>
  <si>
    <t>Q2</t>
  </si>
  <si>
    <t>Q3</t>
  </si>
  <si>
    <t>40V 100mW 100@10mA,1V 200mA 300MHz 300mV@50mA,5mA NPN -55℃~+150℃@(Tj) SOT-723 Bipolar Transistors - BJT ROHS</t>
  </si>
  <si>
    <t>SOT-723</t>
  </si>
  <si>
    <t>MMBT3904M</t>
  </si>
  <si>
    <t>Q4, Q6</t>
  </si>
  <si>
    <t>20V 2.2A 800mW 110mΩ@4.5V,2.7A 810mV@250uA P Channel SOT-23 MOSFETs ROHS</t>
  </si>
  <si>
    <t>WPM2015-3/TR</t>
  </si>
  <si>
    <t>Q5</t>
  </si>
  <si>
    <t>N-CHANNEL 20-V (D-S) MOSFET</t>
  </si>
  <si>
    <t>SI2302CDS</t>
  </si>
  <si>
    <t>Si2302CDS</t>
  </si>
  <si>
    <t>Q7</t>
  </si>
  <si>
    <t>NPN 246mW 100mA 50V SOT-23 Digital Transistors ROHS</t>
  </si>
  <si>
    <t>LMUN2211LT1G</t>
  </si>
  <si>
    <t>LRC</t>
  </si>
  <si>
    <t>Q8</t>
  </si>
  <si>
    <t>MOSFET N-CH 30V .1A SOT-323</t>
  </si>
  <si>
    <t>SOT_323</t>
  </si>
  <si>
    <t>2SK3018T106</t>
  </si>
  <si>
    <t>Rohm</t>
  </si>
  <si>
    <t>Resistor</t>
  </si>
  <si>
    <t>R1, R21, R22, R70</t>
  </si>
  <si>
    <t>RES SMD 1M OHM 1% 1/10W 0603</t>
  </si>
  <si>
    <t>Res-0603</t>
  </si>
  <si>
    <t>RC0603FR-071ML</t>
  </si>
  <si>
    <t>1M</t>
  </si>
  <si>
    <t>R2, R3</t>
  </si>
  <si>
    <t>RES 5.1K OHM 1% 1/16W 0402</t>
  </si>
  <si>
    <t>Res-0402</t>
  </si>
  <si>
    <t>RC0402FR-075K1L</t>
  </si>
  <si>
    <t>5.1K</t>
  </si>
  <si>
    <t>R4, R8, R11, R12, R13, R23, R24, R25, R27, R30, R31, R32, R36, R41, R42, R44, R55, R56, R68, R69</t>
  </si>
  <si>
    <t>RES 10K OHM 1% 1/16W 0402</t>
  </si>
  <si>
    <t>RC0402FR-0710KL</t>
  </si>
  <si>
    <t>10K</t>
  </si>
  <si>
    <t>R5, R6, R10, R39, R43, R57</t>
  </si>
  <si>
    <t>RES SMD 1K OHM 1% 1/10W 0603</t>
  </si>
  <si>
    <t>RC0603FR-071KL</t>
  </si>
  <si>
    <t>1K</t>
  </si>
  <si>
    <t>R7, R28</t>
  </si>
  <si>
    <t>RES 1.2K OHM 1% 1/16W 0402</t>
  </si>
  <si>
    <t>RC0402FR-071K2L</t>
  </si>
  <si>
    <t>1.2K</t>
  </si>
  <si>
    <t>R9</t>
  </si>
  <si>
    <t>RES 3.3K OHM 1% 1/16W 0402</t>
  </si>
  <si>
    <t>RC0402FR-073K3L</t>
  </si>
  <si>
    <t>3.3K</t>
  </si>
  <si>
    <t>R14</t>
  </si>
  <si>
    <t>RES SMD 8.2K OHM 0.1% 1/10W 0603</t>
  </si>
  <si>
    <t>RT0603BRD078K2L</t>
  </si>
  <si>
    <t>8.2K</t>
  </si>
  <si>
    <t>R15</t>
  </si>
  <si>
    <t>RES SMD 62K OHM 0.1% 1/10W 0603</t>
  </si>
  <si>
    <t>RT0603BRD0762KL</t>
  </si>
  <si>
    <t>62K</t>
  </si>
  <si>
    <t>R16</t>
  </si>
  <si>
    <t>RES 820 OHM 1% 1/10W 0603</t>
  </si>
  <si>
    <t>RC0603FR-07820RL</t>
  </si>
  <si>
    <t>820R</t>
  </si>
  <si>
    <t>R17</t>
  </si>
  <si>
    <t>RES SMD 0R, 1%, 0.1W, 0603</t>
  </si>
  <si>
    <t>RC0603FR-070RL</t>
  </si>
  <si>
    <t>R18</t>
  </si>
  <si>
    <t>RES 27 OHM 1% 1/10W 0603</t>
  </si>
  <si>
    <t>RC0603FR-0727RL</t>
  </si>
  <si>
    <t>27R</t>
  </si>
  <si>
    <t>R19</t>
  </si>
  <si>
    <t>RES 130 OHM 1% 1/10W 0603</t>
  </si>
  <si>
    <t>RC0603FR-07130RL</t>
  </si>
  <si>
    <t>130R</t>
  </si>
  <si>
    <t>R20</t>
  </si>
  <si>
    <t>RES 15K OHM 1% 1/10W 0603</t>
  </si>
  <si>
    <t>RC0603FR-0715KL</t>
  </si>
  <si>
    <t>15K</t>
  </si>
  <si>
    <t>R26, R76</t>
  </si>
  <si>
    <t>0R</t>
  </si>
  <si>
    <t>R29</t>
  </si>
  <si>
    <t>RES SMD 100 OHM 1% 1/10W 0603</t>
  </si>
  <si>
    <t>RC0603FR-07100RL</t>
  </si>
  <si>
    <t>100R</t>
  </si>
  <si>
    <t>R33, R34, R35, R40, R72, R73</t>
  </si>
  <si>
    <t>RES SMD 10K Ohm 1% 1/10W 0603</t>
  </si>
  <si>
    <t>RC0603FR-0710KL</t>
  </si>
  <si>
    <t>R37, R38, R52</t>
  </si>
  <si>
    <t>RES SMD 4.7K OHM 1% 1/10W 0603</t>
  </si>
  <si>
    <t>RC0603FR-074K7L</t>
  </si>
  <si>
    <t>4.7K</t>
  </si>
  <si>
    <t>R45</t>
  </si>
  <si>
    <t>RES 180K OHM 1% 1/10W 0603</t>
  </si>
  <si>
    <t>RC0603FR-07180KL</t>
  </si>
  <si>
    <t>180K</t>
  </si>
  <si>
    <t>R46</t>
  </si>
  <si>
    <t>100mW Thick Film Resistors 75V ±100ppm/℃ ±1% 24.9kΩ 0603 Chip Resistor - Surface Mount ROHS</t>
  </si>
  <si>
    <t>0603WAF2492T5E</t>
  </si>
  <si>
    <t>UNI-ROYAL(Uniroyal Elec)</t>
  </si>
  <si>
    <t>24.9K</t>
  </si>
  <si>
    <t>R47</t>
  </si>
  <si>
    <t>RES SMD 4.42K OHM 1% 1/10W 0603</t>
  </si>
  <si>
    <t>AC0603FR-074K42L</t>
  </si>
  <si>
    <t>4.42K</t>
  </si>
  <si>
    <t>R48, R49</t>
  </si>
  <si>
    <t>RES  SMD 330R 100 mW 0603</t>
  </si>
  <si>
    <t>RC0603JR-07330RL</t>
  </si>
  <si>
    <t>330R</t>
  </si>
  <si>
    <t>R50</t>
  </si>
  <si>
    <t>RES SMD 10 OHM 1% 1/10W 0603</t>
  </si>
  <si>
    <t>RC0603FR-0710RL</t>
  </si>
  <si>
    <t>10R</t>
  </si>
  <si>
    <t>R51, R53, R58, R59</t>
  </si>
  <si>
    <t>RES 49.9 OHM 1% 1/10W 0603</t>
  </si>
  <si>
    <t>RC0603FR-0749R9L</t>
  </si>
  <si>
    <t>49.9R</t>
  </si>
  <si>
    <t>R54</t>
  </si>
  <si>
    <t>RES 0.03 OHM 1% 1/2W 0805</t>
  </si>
  <si>
    <t>RES-0805</t>
  </si>
  <si>
    <t>PE0805FRF470R03L</t>
  </si>
  <si>
    <t>30mR</t>
  </si>
  <si>
    <t>R60</t>
  </si>
  <si>
    <t>RES 4.7 OHM 1% 1/10W 0603</t>
  </si>
  <si>
    <t>RC0603FR-074R7L</t>
  </si>
  <si>
    <t>4.7R</t>
  </si>
  <si>
    <t>R61, R62, R63, R64</t>
  </si>
  <si>
    <t>RES SMD 0603 33 Ohm 1% 1/10W</t>
  </si>
  <si>
    <t>RC0603FR-0733RL</t>
  </si>
  <si>
    <t>33R</t>
  </si>
  <si>
    <t>R65</t>
  </si>
  <si>
    <t>RES SMD 301K OHM 0.1% 1/10W 0603</t>
  </si>
  <si>
    <t>RT0603BRD07301KL</t>
  </si>
  <si>
    <t>301K</t>
  </si>
  <si>
    <t>R66</t>
  </si>
  <si>
    <t>RES SMD 57.6KOHM 0.1% 1/10W 0603</t>
  </si>
  <si>
    <t>RT0603BRE0757K6L</t>
  </si>
  <si>
    <t>YAGEO</t>
  </si>
  <si>
    <t>57.6K</t>
  </si>
  <si>
    <t>R67</t>
  </si>
  <si>
    <t>RES SMD 12.4K OHM 1% 1/10W 0603</t>
  </si>
  <si>
    <t>RC0603FR-0712K4L</t>
  </si>
  <si>
    <t>12.4K</t>
  </si>
  <si>
    <t>R71</t>
  </si>
  <si>
    <t>RES SMD 150 OHM 5% 1/10W 0402</t>
  </si>
  <si>
    <t>ERJ-2GEJ151X</t>
  </si>
  <si>
    <t>Panasonic</t>
  </si>
  <si>
    <t>150R</t>
  </si>
  <si>
    <t>R74</t>
  </si>
  <si>
    <t>RES 4.7K OHM 1% 1/16W 0402</t>
  </si>
  <si>
    <t>RC0402FR-074K7L</t>
  </si>
  <si>
    <t>R75</t>
  </si>
  <si>
    <t>RES SMD 86.6KOHM 0.1% 1/16W 0402</t>
  </si>
  <si>
    <t>RT0402BRD0786K6L</t>
  </si>
  <si>
    <t>86.6K</t>
  </si>
  <si>
    <t>Resistor Array</t>
  </si>
  <si>
    <t>RN1, RN2, RN3</t>
  </si>
  <si>
    <t>RES ARRAY 4 RES 10K OHM 1206</t>
  </si>
  <si>
    <t>YC164-FR-0710KL</t>
  </si>
  <si>
    <t>NTC Thermistor</t>
  </si>
  <si>
    <t>RT1</t>
  </si>
  <si>
    <t>10kΩ 50mW ±1% 3950K ±1% - NTC Thermistors ROHS</t>
  </si>
  <si>
    <t>MF52B 103F3950-100</t>
  </si>
  <si>
    <t>Nanjing Shiheng Elec</t>
  </si>
  <si>
    <t>Tactile Switch</t>
  </si>
  <si>
    <t>SW1</t>
  </si>
  <si>
    <t>3mm 2mm Round Button 50mA Top3.65mm SPST 12V SMD Tactile Switches</t>
  </si>
  <si>
    <t>TS-1185EC-C-D-B_</t>
  </si>
  <si>
    <t>TS-1185EC-C-D-B</t>
  </si>
  <si>
    <t>XKB</t>
  </si>
  <si>
    <t>SW2</t>
  </si>
  <si>
    <t>50mA 100MΩ 100000 Times 260gf@±50gf 12V Surface Mount SPST SMD Tactile Switches ROHS</t>
  </si>
  <si>
    <t>TP12422673</t>
  </si>
  <si>
    <t>ROCPU Switch</t>
  </si>
  <si>
    <t>Slide Switch</t>
  </si>
  <si>
    <t>SW3</t>
  </si>
  <si>
    <t>Surface Mount 1A SPDT 6V Black 10000次 SMD Slide Switches ROHS</t>
  </si>
  <si>
    <t>MK-11C04-G013</t>
  </si>
  <si>
    <t>G-Switch</t>
  </si>
  <si>
    <t>Switch</t>
  </si>
  <si>
    <t>SW4</t>
  </si>
  <si>
    <t>1A 16V Detection switch 50000次 Plugin Microswitches ROHS</t>
  </si>
  <si>
    <t>K5-1678DA-01</t>
  </si>
  <si>
    <t>IC</t>
  </si>
  <si>
    <t>U1</t>
  </si>
  <si>
    <t>300mA 80dB@(1kHz) 305mV@(300mA) Fixed 3.3V~3.3V Positive 1 5.5V SOT-25-5 Linear Voltage Regulators (LDO) ROHS</t>
  </si>
  <si>
    <t>SOT-25-5</t>
  </si>
  <si>
    <t>XC6228D332VR-G</t>
  </si>
  <si>
    <t>Torex Semicon</t>
  </si>
  <si>
    <t>U2</t>
  </si>
  <si>
    <t>300mA 80dB@(1kHz) 410mV@(300mA) Fixed 1.8V~1.8V Positive 1 5.5V SOT-25-5 Linear Voltage Regulators (LDO) ROHS</t>
  </si>
  <si>
    <t>XC6228D182VR-G</t>
  </si>
  <si>
    <t>U3</t>
  </si>
  <si>
    <t>75dB@(120Hz) 1A Fixed 3.3V~3.3V Positive 15V SOT-89-3 Linear Voltage Regulators (LDO) ROHS</t>
  </si>
  <si>
    <t>SOT-89-3</t>
  </si>
  <si>
    <t>LD1117AG-33-AB3-A-R</t>
  </si>
  <si>
    <t>UTC</t>
  </si>
  <si>
    <t>U4</t>
  </si>
  <si>
    <t>ESOP-8 Battery Management ICs ROHS</t>
  </si>
  <si>
    <t>ESOP-8</t>
  </si>
  <si>
    <t>TP4056-42-ESOP8</t>
  </si>
  <si>
    <t>TOPPOWER</t>
  </si>
  <si>
    <t>U5</t>
  </si>
  <si>
    <t>1.6-V TO 5.5-V, 40-M, 2.5-A, LOW</t>
  </si>
  <si>
    <t>SOT-583</t>
  </si>
  <si>
    <t>TPS2116DRLR</t>
  </si>
  <si>
    <t>Texas Instruments</t>
  </si>
  <si>
    <t>U6</t>
  </si>
  <si>
    <t>boost converterType 1 Boost 28V 2V~24V 1.2MHz SOT-23-6 DC-DC Converters ROHS</t>
  </si>
  <si>
    <t>SOT-23-6</t>
  </si>
  <si>
    <t>MT3608</t>
  </si>
  <si>
    <t>XI'AN Aerosemi Tech</t>
  </si>
  <si>
    <t>Temperature &amp; Humidity Sensor</t>
  </si>
  <si>
    <t>U7</t>
  </si>
  <si>
    <t>DFN-6-EP(2x2) Temperature and Humidity Sensor ROHS</t>
  </si>
  <si>
    <t>DFN-6-EP(2x2)</t>
  </si>
  <si>
    <t>GXHTC3</t>
  </si>
  <si>
    <t>GXCAS</t>
  </si>
  <si>
    <t>(CO) Sensor</t>
  </si>
  <si>
    <t>U8</t>
  </si>
  <si>
    <t>CO/NO2/NH3 Triple Gas Sensor Metaloxide Gas Detection Sensor SMD T/R</t>
  </si>
  <si>
    <t>MICS-6814</t>
  </si>
  <si>
    <t>Amphenol</t>
  </si>
  <si>
    <t>Temperature Sensor</t>
  </si>
  <si>
    <t>U9</t>
  </si>
  <si>
    <t>SENSOR RH PRESSURE TEMP VOC</t>
  </si>
  <si>
    <t>BME680</t>
  </si>
  <si>
    <t>Bosch Sensortec</t>
  </si>
  <si>
    <t>U10</t>
  </si>
  <si>
    <t>SMD IC ESP32-S3R8, DUAL-CORE MCU</t>
  </si>
  <si>
    <t>56-QFN (7x7)</t>
  </si>
  <si>
    <t>ESP32-S3R8</t>
  </si>
  <si>
    <t>Espressif Systems</t>
  </si>
  <si>
    <t>U11</t>
  </si>
  <si>
    <t>IC TRANSLATOR BIDIR 20TSSOP</t>
  </si>
  <si>
    <t>TSSOP-20</t>
  </si>
  <si>
    <t>TXS0108EPWR</t>
  </si>
  <si>
    <t>U12</t>
  </si>
  <si>
    <t>IC REG LINEAR 3.3V 200MA 6DFN</t>
  </si>
  <si>
    <t>6-DFN (1.2x1.3)</t>
  </si>
  <si>
    <t>LDK120PU33R</t>
  </si>
  <si>
    <t>STMicroelectronics</t>
  </si>
  <si>
    <t>U13</t>
  </si>
  <si>
    <t>IC MCU 32BIT 256KB FLASH 64LQFP</t>
  </si>
  <si>
    <t>64-LQFP (10x10)</t>
  </si>
  <si>
    <t>STM32F446RCT6</t>
  </si>
  <si>
    <t>U14</t>
  </si>
  <si>
    <t>IC FLASH 128MBIT SPI/QUAD 8SOIC</t>
  </si>
  <si>
    <t>SOIC-8 (208 mil)</t>
  </si>
  <si>
    <t>W25Q128JVSIQ</t>
  </si>
  <si>
    <t>Winbond</t>
  </si>
  <si>
    <t>Ambient Light Sensor</t>
  </si>
  <si>
    <t>U15</t>
  </si>
  <si>
    <t>SENSOR OPT AMBIENT 6DFN</t>
  </si>
  <si>
    <t>6-Pin ChipLED</t>
  </si>
  <si>
    <t>LTR-303ALS-01</t>
  </si>
  <si>
    <t>Vishay Lite-On</t>
  </si>
  <si>
    <t>LTR-303ALS</t>
  </si>
  <si>
    <t>Microphone</t>
  </si>
  <si>
    <t>U16, U17, U24, U25</t>
  </si>
  <si>
    <t>MIC MEMS DIGITAL PDM OMNI -26DB</t>
  </si>
  <si>
    <t>MP34DT06JTR</t>
  </si>
  <si>
    <t>U18</t>
  </si>
  <si>
    <t>Rf Transceiver PG-VF2BGA-40</t>
  </si>
  <si>
    <t>pg-vf2bga-40</t>
  </si>
  <si>
    <t>BGT60TR13CE6327XUMA1</t>
  </si>
  <si>
    <t>Infineon</t>
  </si>
  <si>
    <t>U19</t>
  </si>
  <si>
    <t>IC ADC 12BIT SIGMA-DELTA 10VSSOP</t>
  </si>
  <si>
    <t>VSSOP-10</t>
  </si>
  <si>
    <t>ADS1015IDGSR</t>
  </si>
  <si>
    <t>U20</t>
  </si>
  <si>
    <t>IC POE CNTRL 1 CHANNEL 8SOIC</t>
  </si>
  <si>
    <t>SOIC-8</t>
  </si>
  <si>
    <t>TPS2375DR</t>
  </si>
  <si>
    <t>TVS Diode</t>
  </si>
  <si>
    <t>U21</t>
  </si>
  <si>
    <t>TVS DIODE 5.5VWM 8.5VC SOT23-5</t>
  </si>
  <si>
    <t>SOT-23-5</t>
  </si>
  <si>
    <t>SP0504BAHTG</t>
  </si>
  <si>
    <t>U22</t>
  </si>
  <si>
    <t>Step-down type SOIC-8-EP DC-DC Converters ROHS</t>
  </si>
  <si>
    <t>8-SOIC-EP</t>
  </si>
  <si>
    <t>TX4138</t>
  </si>
  <si>
    <t>XDS</t>
  </si>
  <si>
    <t>U23</t>
  </si>
  <si>
    <t>SPI LQFP-48(7x7) Ethernet ICs ROHS</t>
  </si>
  <si>
    <t>48-LQFP (7x7)_</t>
  </si>
  <si>
    <t>W5500</t>
  </si>
  <si>
    <t>WIZNET</t>
  </si>
  <si>
    <t>Gas Sensor</t>
  </si>
  <si>
    <t>U26</t>
  </si>
  <si>
    <t>Digital Metal-Oxide Multi-Gas Sensor</t>
  </si>
  <si>
    <t>ENS160-BGLT</t>
  </si>
  <si>
    <t>ScioSense</t>
  </si>
  <si>
    <t>U27</t>
  </si>
  <si>
    <t>400kHz SO-8 I/O Expanders ROHS</t>
  </si>
  <si>
    <t>SOP-8</t>
  </si>
  <si>
    <t>PCA9536D,118</t>
  </si>
  <si>
    <t>NXP Semiconductors</t>
  </si>
  <si>
    <t>Crystal</t>
  </si>
  <si>
    <t>X1</t>
  </si>
  <si>
    <t>32.768kHz 7pF ±10ppm SMD3215-2P Crystals ROHS</t>
  </si>
  <si>
    <t>SMD3215-2P</t>
  </si>
  <si>
    <t>DXTF321532768C10F</t>
  </si>
  <si>
    <t>Shenzhen</t>
  </si>
  <si>
    <t>32.768kHz</t>
  </si>
  <si>
    <t>X2</t>
  </si>
  <si>
    <t>8MHz 20pF ±10ppm ±50ppm SMD5032-2P Crystals ROHS</t>
  </si>
  <si>
    <t>SMD5032-2P</t>
  </si>
  <si>
    <t>X50328MSB2GI</t>
  </si>
  <si>
    <t>Yangxing Tech</t>
  </si>
  <si>
    <t>8MHz</t>
  </si>
  <si>
    <t>X3</t>
  </si>
  <si>
    <t>CRYSTAL 25.0000MHZ 12PF SMD</t>
  </si>
  <si>
    <t>Q22FA12800090</t>
  </si>
  <si>
    <t>Seiko Epson</t>
  </si>
  <si>
    <t>25MHz</t>
  </si>
  <si>
    <t>X4</t>
  </si>
  <si>
    <t>40MHz SMD Crystal Resonator 15pF SMD3225-4P Crystals ROHS</t>
  </si>
  <si>
    <t>X322540MPB4SI_</t>
  </si>
  <si>
    <t>X322540MPB4SI</t>
  </si>
  <si>
    <t>40MHz</t>
  </si>
  <si>
    <t>X5</t>
  </si>
  <si>
    <t>XTAL OSC XO 80.0000MHZ CMOS SMD</t>
  </si>
  <si>
    <t>KC2016K</t>
  </si>
  <si>
    <t>KC2016K80.0000C1GE00</t>
  </si>
  <si>
    <t>80MHz</t>
  </si>
  <si>
    <t>Peripheral</t>
  </si>
  <si>
    <t>-</t>
  </si>
  <si>
    <t>3.7V 3000mAh 505080 Polymer Lithium Lipo Rechargeable battery for GPS DVD PAD power bank e-book camera tablet 5*50*80mm</t>
  </si>
  <si>
    <t>Battery</t>
  </si>
  <si>
    <t>3000mAh</t>
  </si>
  <si>
    <t>Aliexpress</t>
  </si>
  <si>
    <t>Sensor</t>
  </si>
  <si>
    <t>PMS5003</t>
  </si>
  <si>
    <t>ZE08-CH2O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</si>
</sst>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center"/>
    </xf>
    <xf numFmtId="0" fontId="8" fillId="4" borderId="1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8" applyNumberFormat="0" applyAlignment="0" applyProtection="0">
      <alignment vertical="center"/>
    </xf>
    <xf numFmtId="0" fontId="18" fillId="6" borderId="19" applyNumberFormat="0" applyAlignment="0" applyProtection="0">
      <alignment vertical="center"/>
    </xf>
    <xf numFmtId="0" fontId="19" fillId="6" borderId="18" applyNumberFormat="0" applyAlignment="0" applyProtection="0">
      <alignment vertical="center"/>
    </xf>
    <xf numFmtId="0" fontId="20" fillId="7" borderId="20" applyNumberFormat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7" fillId="2" borderId="4" xfId="6" applyFont="1" applyFill="1" applyBorder="1" applyAlignment="1">
      <alignment horizontal="center" vertical="center" wrapText="1"/>
    </xf>
    <xf numFmtId="0" fontId="7" fillId="2" borderId="6" xfId="6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liexpress.us/item/3256803353608551.html?" TargetMode="External"/><Relationship Id="rId1" Type="http://schemas.openxmlformats.org/officeDocument/2006/relationships/hyperlink" Target="https://vi.aliexpress.com/item/3288609045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44"/>
  <sheetViews>
    <sheetView tabSelected="1" topLeftCell="A127" workbookViewId="0">
      <selection activeCell="L147" sqref="L147"/>
    </sheetView>
  </sheetViews>
  <sheetFormatPr defaultColWidth="9" defaultRowHeight="15"/>
  <cols>
    <col min="2" max="2" width="4.42857142857143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10" width="17.8571428571429" customWidth="1"/>
    <col min="11" max="11" width="16.7142857142857" customWidth="1"/>
    <col min="12" max="12" width="29.4285714285714" customWidth="1"/>
  </cols>
  <sheetData>
    <row r="1" ht="15.75" spans="1:12">
      <c r="A1" s="2"/>
      <c r="B1" s="3"/>
      <c r="C1" s="3"/>
      <c r="D1" s="4"/>
      <c r="E1" s="4"/>
      <c r="F1" s="4"/>
      <c r="G1" s="4"/>
      <c r="H1" s="4"/>
      <c r="I1" s="14"/>
      <c r="J1" s="14"/>
      <c r="K1" s="14"/>
      <c r="L1" s="14"/>
    </row>
    <row r="2" ht="15.75" spans="1:12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15" t="s">
        <v>8</v>
      </c>
      <c r="K2" s="16" t="s">
        <v>9</v>
      </c>
      <c r="L2" s="5" t="s">
        <v>10</v>
      </c>
    </row>
    <row r="3" ht="24.75" spans="1:12">
      <c r="A3" s="2"/>
      <c r="B3" s="7">
        <f>ROW(B3)-ROW($B$2)</f>
        <v>1</v>
      </c>
      <c r="C3" s="8" t="s">
        <v>11</v>
      </c>
      <c r="D3" s="9" t="s">
        <v>12</v>
      </c>
      <c r="E3" s="10" t="s">
        <v>13</v>
      </c>
      <c r="F3" s="9" t="s">
        <v>14</v>
      </c>
      <c r="G3" s="10" t="s">
        <v>14</v>
      </c>
      <c r="H3" s="9" t="s">
        <v>15</v>
      </c>
      <c r="I3" s="10" t="s">
        <v>14</v>
      </c>
      <c r="J3" s="17"/>
      <c r="K3" s="18">
        <v>2</v>
      </c>
      <c r="L3" s="9"/>
    </row>
    <row r="4" ht="24.75" spans="1:12">
      <c r="A4" s="2"/>
      <c r="B4" s="7">
        <f t="shared" ref="B4:B143" si="0">ROW(B4)-ROW($B$2)</f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21</v>
      </c>
      <c r="I4" s="13" t="s">
        <v>22</v>
      </c>
      <c r="J4" s="19"/>
      <c r="K4" s="20">
        <v>12</v>
      </c>
      <c r="L4" s="12"/>
    </row>
    <row r="5" ht="15.75" spans="1:12">
      <c r="A5" s="2"/>
      <c r="B5" s="7">
        <f>ROW(B5)-ROW($B$2)</f>
        <v>3</v>
      </c>
      <c r="C5" s="8" t="s">
        <v>16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21</v>
      </c>
      <c r="I5" s="10" t="s">
        <v>27</v>
      </c>
      <c r="J5" s="17"/>
      <c r="K5" s="18">
        <v>1</v>
      </c>
      <c r="L5" s="9"/>
    </row>
    <row r="6" ht="60.75" spans="1:12">
      <c r="A6" s="2"/>
      <c r="B6" s="7">
        <f t="shared" si="0"/>
        <v>4</v>
      </c>
      <c r="C6" s="11" t="s">
        <v>16</v>
      </c>
      <c r="D6" s="12" t="s">
        <v>28</v>
      </c>
      <c r="E6" s="13" t="s">
        <v>29</v>
      </c>
      <c r="F6" s="12" t="s">
        <v>19</v>
      </c>
      <c r="G6" s="13" t="s">
        <v>30</v>
      </c>
      <c r="H6" s="12" t="s">
        <v>31</v>
      </c>
      <c r="I6" s="13" t="s">
        <v>32</v>
      </c>
      <c r="J6" s="19"/>
      <c r="K6" s="20">
        <v>42</v>
      </c>
      <c r="L6" s="12"/>
    </row>
    <row r="7" ht="15.75" spans="1:12">
      <c r="A7" s="2"/>
      <c r="B7" s="7">
        <f>ROW(B7)-ROW($B$2)</f>
        <v>5</v>
      </c>
      <c r="C7" s="8" t="s">
        <v>16</v>
      </c>
      <c r="D7" s="9" t="s">
        <v>33</v>
      </c>
      <c r="E7" s="10" t="s">
        <v>34</v>
      </c>
      <c r="F7" s="9" t="s">
        <v>35</v>
      </c>
      <c r="G7" s="10" t="s">
        <v>36</v>
      </c>
      <c r="H7" s="9" t="s">
        <v>37</v>
      </c>
      <c r="I7" s="10" t="s">
        <v>38</v>
      </c>
      <c r="J7" s="17"/>
      <c r="K7" s="18">
        <v>1</v>
      </c>
      <c r="L7" s="9"/>
    </row>
    <row r="8" ht="36.75" spans="1:12">
      <c r="A8" s="2"/>
      <c r="B8" s="7">
        <f t="shared" si="0"/>
        <v>6</v>
      </c>
      <c r="C8" s="11" t="s">
        <v>16</v>
      </c>
      <c r="D8" s="12" t="s">
        <v>39</v>
      </c>
      <c r="E8" s="13" t="s">
        <v>40</v>
      </c>
      <c r="F8" s="12" t="s">
        <v>41</v>
      </c>
      <c r="G8" s="13" t="s">
        <v>42</v>
      </c>
      <c r="H8" s="12" t="s">
        <v>43</v>
      </c>
      <c r="I8" s="13" t="s">
        <v>44</v>
      </c>
      <c r="J8" s="19"/>
      <c r="K8" s="20">
        <v>2</v>
      </c>
      <c r="L8" s="12"/>
    </row>
    <row r="9" ht="15.75" spans="1:12">
      <c r="A9" s="2"/>
      <c r="B9" s="7">
        <f>ROW(B9)-ROW($B$2)</f>
        <v>7</v>
      </c>
      <c r="C9" s="8" t="s">
        <v>16</v>
      </c>
      <c r="D9" s="9" t="s">
        <v>45</v>
      </c>
      <c r="E9" s="10" t="s">
        <v>46</v>
      </c>
      <c r="F9" s="9" t="s">
        <v>35</v>
      </c>
      <c r="G9" s="10" t="s">
        <v>47</v>
      </c>
      <c r="H9" s="9" t="s">
        <v>37</v>
      </c>
      <c r="I9" s="10" t="s">
        <v>48</v>
      </c>
      <c r="J9" s="17"/>
      <c r="K9" s="18">
        <v>1</v>
      </c>
      <c r="L9" s="9"/>
    </row>
    <row r="10" ht="24.75" spans="1:12">
      <c r="A10" s="2"/>
      <c r="B10" s="7">
        <f t="shared" si="0"/>
        <v>8</v>
      </c>
      <c r="C10" s="11" t="s">
        <v>16</v>
      </c>
      <c r="D10" s="12" t="s">
        <v>49</v>
      </c>
      <c r="E10" s="13" t="s">
        <v>50</v>
      </c>
      <c r="F10" s="12" t="s">
        <v>19</v>
      </c>
      <c r="G10" s="13" t="s">
        <v>51</v>
      </c>
      <c r="H10" s="12" t="s">
        <v>21</v>
      </c>
      <c r="I10" s="13" t="s">
        <v>52</v>
      </c>
      <c r="J10" s="19"/>
      <c r="K10" s="20">
        <v>17</v>
      </c>
      <c r="L10" s="12"/>
    </row>
    <row r="11" ht="15.75" spans="1:12">
      <c r="A11" s="2"/>
      <c r="B11" s="7">
        <f>ROW(B11)-ROW($B$2)</f>
        <v>9</v>
      </c>
      <c r="C11" s="8" t="s">
        <v>16</v>
      </c>
      <c r="D11" s="9" t="s">
        <v>53</v>
      </c>
      <c r="E11" s="10" t="s">
        <v>54</v>
      </c>
      <c r="F11" s="9" t="s">
        <v>55</v>
      </c>
      <c r="G11" s="10" t="s">
        <v>56</v>
      </c>
      <c r="H11" s="9" t="s">
        <v>21</v>
      </c>
      <c r="I11" s="10" t="s">
        <v>57</v>
      </c>
      <c r="J11" s="17"/>
      <c r="K11" s="18">
        <v>1</v>
      </c>
      <c r="L11" s="9"/>
    </row>
    <row r="12" ht="15.75" spans="1:12">
      <c r="A12" s="2"/>
      <c r="B12" s="7">
        <f t="shared" si="0"/>
        <v>10</v>
      </c>
      <c r="C12" s="11" t="s">
        <v>16</v>
      </c>
      <c r="D12" s="12" t="s">
        <v>58</v>
      </c>
      <c r="E12" s="13" t="s">
        <v>59</v>
      </c>
      <c r="F12" s="12" t="s">
        <v>55</v>
      </c>
      <c r="G12" s="13" t="s">
        <v>60</v>
      </c>
      <c r="H12" s="12" t="s">
        <v>21</v>
      </c>
      <c r="I12" s="13" t="s">
        <v>61</v>
      </c>
      <c r="J12" s="19"/>
      <c r="K12" s="20">
        <v>3</v>
      </c>
      <c r="L12" s="12"/>
    </row>
    <row r="13" ht="15.75" spans="1:12">
      <c r="A13" s="2"/>
      <c r="B13" s="7">
        <f>ROW(B13)-ROW($B$2)</f>
        <v>11</v>
      </c>
      <c r="C13" s="8" t="s">
        <v>16</v>
      </c>
      <c r="D13" s="9" t="s">
        <v>62</v>
      </c>
      <c r="E13" s="10" t="s">
        <v>63</v>
      </c>
      <c r="F13" s="9" t="s">
        <v>64</v>
      </c>
      <c r="G13" s="10" t="s">
        <v>65</v>
      </c>
      <c r="H13" s="9" t="s">
        <v>31</v>
      </c>
      <c r="I13" s="10" t="s">
        <v>66</v>
      </c>
      <c r="J13" s="17"/>
      <c r="K13" s="18">
        <v>2</v>
      </c>
      <c r="L13" s="9"/>
    </row>
    <row r="14" ht="15.75" spans="1:12">
      <c r="A14" s="2"/>
      <c r="B14" s="7">
        <f t="shared" si="0"/>
        <v>12</v>
      </c>
      <c r="C14" s="11" t="s">
        <v>16</v>
      </c>
      <c r="D14" s="12" t="s">
        <v>67</v>
      </c>
      <c r="E14" s="13" t="s">
        <v>68</v>
      </c>
      <c r="F14" s="12" t="s">
        <v>55</v>
      </c>
      <c r="G14" s="13" t="s">
        <v>69</v>
      </c>
      <c r="H14" s="12" t="s">
        <v>21</v>
      </c>
      <c r="I14" s="13" t="s">
        <v>70</v>
      </c>
      <c r="J14" s="19"/>
      <c r="K14" s="20">
        <v>2</v>
      </c>
      <c r="L14" s="12"/>
    </row>
    <row r="15" ht="24.75" spans="1:12">
      <c r="A15" s="2"/>
      <c r="B15" s="7">
        <f>ROW(B15)-ROW($B$2)</f>
        <v>13</v>
      </c>
      <c r="C15" s="8" t="s">
        <v>16</v>
      </c>
      <c r="D15" s="9" t="s">
        <v>71</v>
      </c>
      <c r="E15" s="10" t="s">
        <v>72</v>
      </c>
      <c r="F15" s="9" t="s">
        <v>73</v>
      </c>
      <c r="G15" s="10" t="s">
        <v>74</v>
      </c>
      <c r="H15" s="9" t="s">
        <v>75</v>
      </c>
      <c r="I15" s="10" t="s">
        <v>22</v>
      </c>
      <c r="J15" s="17"/>
      <c r="K15" s="18">
        <v>1</v>
      </c>
      <c r="L15" s="9"/>
    </row>
    <row r="16" ht="15.75" spans="1:12">
      <c r="A16" s="2"/>
      <c r="B16" s="7">
        <f t="shared" si="0"/>
        <v>14</v>
      </c>
      <c r="C16" s="11" t="s">
        <v>16</v>
      </c>
      <c r="D16" s="12" t="s">
        <v>76</v>
      </c>
      <c r="E16" s="13" t="s">
        <v>77</v>
      </c>
      <c r="F16" s="12" t="s">
        <v>41</v>
      </c>
      <c r="G16" s="13" t="s">
        <v>78</v>
      </c>
      <c r="H16" s="12" t="s">
        <v>21</v>
      </c>
      <c r="I16" s="13" t="s">
        <v>79</v>
      </c>
      <c r="J16" s="19"/>
      <c r="K16" s="20">
        <v>1</v>
      </c>
      <c r="L16" s="12"/>
    </row>
    <row r="17" ht="15.75" spans="1:12">
      <c r="A17" s="2"/>
      <c r="B17" s="7">
        <f>ROW(B17)-ROW($B$2)</f>
        <v>15</v>
      </c>
      <c r="C17" s="11" t="s">
        <v>16</v>
      </c>
      <c r="D17" s="9" t="s">
        <v>80</v>
      </c>
      <c r="E17" s="10" t="s">
        <v>81</v>
      </c>
      <c r="F17" s="9" t="s">
        <v>55</v>
      </c>
      <c r="G17" s="10" t="s">
        <v>82</v>
      </c>
      <c r="H17" s="9" t="s">
        <v>83</v>
      </c>
      <c r="I17" s="10" t="s">
        <v>84</v>
      </c>
      <c r="J17" s="17"/>
      <c r="K17" s="18">
        <v>2</v>
      </c>
      <c r="L17" s="9"/>
    </row>
    <row r="18" ht="15.75" spans="1:12">
      <c r="A18" s="2"/>
      <c r="B18" s="7">
        <f t="shared" si="0"/>
        <v>16</v>
      </c>
      <c r="C18" s="11" t="s">
        <v>16</v>
      </c>
      <c r="D18" s="12" t="s">
        <v>85</v>
      </c>
      <c r="E18" s="13" t="s">
        <v>86</v>
      </c>
      <c r="F18" s="12" t="s">
        <v>55</v>
      </c>
      <c r="G18" s="13" t="s">
        <v>87</v>
      </c>
      <c r="H18" s="12" t="s">
        <v>21</v>
      </c>
      <c r="I18" s="13" t="s">
        <v>44</v>
      </c>
      <c r="J18" s="19"/>
      <c r="K18" s="20">
        <v>3</v>
      </c>
      <c r="L18" s="12"/>
    </row>
    <row r="19" ht="15.75" spans="1:12">
      <c r="A19" s="2"/>
      <c r="B19" s="7">
        <f>ROW(B19)-ROW($B$2)</f>
        <v>17</v>
      </c>
      <c r="C19" s="11" t="s">
        <v>16</v>
      </c>
      <c r="D19" s="9" t="s">
        <v>88</v>
      </c>
      <c r="E19" s="10" t="s">
        <v>89</v>
      </c>
      <c r="F19" s="9" t="s">
        <v>25</v>
      </c>
      <c r="G19" s="10" t="s">
        <v>90</v>
      </c>
      <c r="H19" s="9" t="s">
        <v>21</v>
      </c>
      <c r="I19" s="10" t="s">
        <v>91</v>
      </c>
      <c r="J19" s="17"/>
      <c r="K19" s="18">
        <v>1</v>
      </c>
      <c r="L19" s="9"/>
    </row>
    <row r="20" ht="15.75" spans="1:12">
      <c r="A20" s="2"/>
      <c r="B20" s="7">
        <f t="shared" si="0"/>
        <v>18</v>
      </c>
      <c r="C20" s="11" t="s">
        <v>16</v>
      </c>
      <c r="D20" s="12" t="s">
        <v>92</v>
      </c>
      <c r="E20" s="13" t="s">
        <v>93</v>
      </c>
      <c r="F20" s="12" t="s">
        <v>55</v>
      </c>
      <c r="G20" s="13" t="s">
        <v>94</v>
      </c>
      <c r="H20" s="12" t="s">
        <v>21</v>
      </c>
      <c r="I20" s="13" t="s">
        <v>32</v>
      </c>
      <c r="J20" s="19"/>
      <c r="K20" s="20">
        <v>2</v>
      </c>
      <c r="L20" s="12"/>
    </row>
    <row r="21" ht="15.75" spans="1:12">
      <c r="A21" s="2"/>
      <c r="B21" s="7">
        <f>ROW(B21)-ROW($B$2)</f>
        <v>19</v>
      </c>
      <c r="C21" s="8" t="s">
        <v>16</v>
      </c>
      <c r="D21" s="9" t="s">
        <v>95</v>
      </c>
      <c r="E21" s="10" t="s">
        <v>96</v>
      </c>
      <c r="F21" s="9" t="s">
        <v>55</v>
      </c>
      <c r="G21" s="10" t="s">
        <v>97</v>
      </c>
      <c r="H21" s="9" t="s">
        <v>21</v>
      </c>
      <c r="I21" s="10" t="s">
        <v>98</v>
      </c>
      <c r="J21" s="17"/>
      <c r="K21" s="18">
        <v>1</v>
      </c>
      <c r="L21" s="9"/>
    </row>
    <row r="22" ht="15.75" spans="1:12">
      <c r="A22" s="2"/>
      <c r="B22" s="7">
        <f t="shared" si="0"/>
        <v>20</v>
      </c>
      <c r="C22" s="11" t="s">
        <v>16</v>
      </c>
      <c r="D22" s="12" t="s">
        <v>99</v>
      </c>
      <c r="E22" s="13" t="s">
        <v>100</v>
      </c>
      <c r="F22" s="12" t="s">
        <v>55</v>
      </c>
      <c r="G22" s="13" t="s">
        <v>101</v>
      </c>
      <c r="H22" s="12" t="s">
        <v>102</v>
      </c>
      <c r="I22" s="13" t="s">
        <v>103</v>
      </c>
      <c r="J22" s="19"/>
      <c r="K22" s="20">
        <v>2</v>
      </c>
      <c r="L22" s="12"/>
    </row>
    <row r="23" ht="36.75" spans="1:12">
      <c r="A23" s="2"/>
      <c r="B23" s="7">
        <f>ROW(B23)-ROW($B$2)</f>
        <v>21</v>
      </c>
      <c r="C23" s="8" t="s">
        <v>16</v>
      </c>
      <c r="D23" s="9" t="s">
        <v>104</v>
      </c>
      <c r="E23" s="10" t="s">
        <v>105</v>
      </c>
      <c r="F23" s="9" t="s">
        <v>106</v>
      </c>
      <c r="G23" s="10" t="s">
        <v>106</v>
      </c>
      <c r="H23" s="9" t="s">
        <v>107</v>
      </c>
      <c r="I23" s="10" t="s">
        <v>108</v>
      </c>
      <c r="J23" s="17"/>
      <c r="K23" s="18">
        <v>1</v>
      </c>
      <c r="L23" s="9"/>
    </row>
    <row r="24" ht="15.75" spans="1:12">
      <c r="A24" s="2"/>
      <c r="B24" s="7">
        <f t="shared" si="0"/>
        <v>22</v>
      </c>
      <c r="C24" s="11" t="s">
        <v>16</v>
      </c>
      <c r="D24" s="12" t="s">
        <v>109</v>
      </c>
      <c r="E24" s="13" t="s">
        <v>110</v>
      </c>
      <c r="F24" s="12" t="s">
        <v>41</v>
      </c>
      <c r="G24" s="13" t="s">
        <v>111</v>
      </c>
      <c r="H24" s="12" t="s">
        <v>21</v>
      </c>
      <c r="I24" s="13" t="s">
        <v>44</v>
      </c>
      <c r="J24" s="19"/>
      <c r="K24" s="20">
        <v>2</v>
      </c>
      <c r="L24" s="12"/>
    </row>
    <row r="25" ht="15.75" spans="1:12">
      <c r="A25" s="2"/>
      <c r="B25" s="7">
        <f>ROW(B25)-ROW($B$2)</f>
        <v>23</v>
      </c>
      <c r="C25" s="8" t="s">
        <v>16</v>
      </c>
      <c r="D25" s="9" t="s">
        <v>112</v>
      </c>
      <c r="E25" s="10" t="s">
        <v>113</v>
      </c>
      <c r="F25" s="9" t="s">
        <v>55</v>
      </c>
      <c r="G25" s="10" t="s">
        <v>114</v>
      </c>
      <c r="H25" s="9" t="s">
        <v>21</v>
      </c>
      <c r="I25" s="10" t="s">
        <v>22</v>
      </c>
      <c r="J25" s="17"/>
      <c r="K25" s="18">
        <v>2</v>
      </c>
      <c r="L25" s="9"/>
    </row>
    <row r="26" ht="15.75" spans="1:12">
      <c r="A26" s="2"/>
      <c r="B26" s="7">
        <f t="shared" si="0"/>
        <v>24</v>
      </c>
      <c r="C26" s="8" t="s">
        <v>16</v>
      </c>
      <c r="D26" s="12" t="s">
        <v>115</v>
      </c>
      <c r="E26" s="13" t="s">
        <v>116</v>
      </c>
      <c r="F26" s="12" t="s">
        <v>55</v>
      </c>
      <c r="G26" s="13" t="s">
        <v>117</v>
      </c>
      <c r="H26" s="12" t="s">
        <v>21</v>
      </c>
      <c r="I26" s="13" t="s">
        <v>118</v>
      </c>
      <c r="J26" s="19"/>
      <c r="K26" s="20">
        <v>3</v>
      </c>
      <c r="L26" s="12"/>
    </row>
    <row r="27" ht="15.75" spans="1:12">
      <c r="A27" s="2"/>
      <c r="B27" s="7">
        <f>ROW(B27)-ROW($B$2)</f>
        <v>25</v>
      </c>
      <c r="C27" s="8" t="s">
        <v>16</v>
      </c>
      <c r="D27" s="9" t="s">
        <v>119</v>
      </c>
      <c r="E27" s="10" t="s">
        <v>120</v>
      </c>
      <c r="F27" s="9" t="s">
        <v>121</v>
      </c>
      <c r="G27" s="10" t="s">
        <v>122</v>
      </c>
      <c r="H27" s="9" t="s">
        <v>37</v>
      </c>
      <c r="I27" s="10" t="s">
        <v>123</v>
      </c>
      <c r="J27" s="17"/>
      <c r="K27" s="18">
        <v>1</v>
      </c>
      <c r="L27" s="9"/>
    </row>
    <row r="28" ht="15.75" spans="1:12">
      <c r="A28" s="2"/>
      <c r="B28" s="7">
        <f t="shared" si="0"/>
        <v>26</v>
      </c>
      <c r="C28" s="8" t="s">
        <v>16</v>
      </c>
      <c r="D28" s="12" t="s">
        <v>124</v>
      </c>
      <c r="E28" s="13" t="s">
        <v>125</v>
      </c>
      <c r="F28" s="12" t="s">
        <v>55</v>
      </c>
      <c r="G28" s="13" t="s">
        <v>126</v>
      </c>
      <c r="H28" s="12" t="s">
        <v>21</v>
      </c>
      <c r="I28" s="13" t="s">
        <v>127</v>
      </c>
      <c r="J28" s="19"/>
      <c r="K28" s="20">
        <v>1</v>
      </c>
      <c r="L28" s="12"/>
    </row>
    <row r="29" ht="15.75" spans="1:12">
      <c r="A29" s="2"/>
      <c r="B29" s="7">
        <f>ROW(B29)-ROW($B$2)</f>
        <v>27</v>
      </c>
      <c r="C29" s="8" t="s">
        <v>16</v>
      </c>
      <c r="D29" s="9" t="s">
        <v>128</v>
      </c>
      <c r="E29" s="10" t="s">
        <v>129</v>
      </c>
      <c r="F29" s="9" t="s">
        <v>19</v>
      </c>
      <c r="G29" s="10" t="s">
        <v>130</v>
      </c>
      <c r="H29" s="9" t="s">
        <v>21</v>
      </c>
      <c r="I29" s="10" t="s">
        <v>32</v>
      </c>
      <c r="J29" s="17"/>
      <c r="K29" s="18">
        <v>4</v>
      </c>
      <c r="L29" s="9"/>
    </row>
    <row r="30" ht="15.75" spans="1:12">
      <c r="A30" s="2"/>
      <c r="B30" s="7">
        <f t="shared" si="0"/>
        <v>28</v>
      </c>
      <c r="C30" s="8" t="s">
        <v>16</v>
      </c>
      <c r="D30" s="12" t="s">
        <v>131</v>
      </c>
      <c r="E30" s="13" t="s">
        <v>132</v>
      </c>
      <c r="F30" s="12" t="s">
        <v>19</v>
      </c>
      <c r="G30" s="13" t="s">
        <v>133</v>
      </c>
      <c r="H30" s="12" t="s">
        <v>21</v>
      </c>
      <c r="I30" s="13" t="s">
        <v>61</v>
      </c>
      <c r="J30" s="19"/>
      <c r="K30" s="20">
        <v>1</v>
      </c>
      <c r="L30" s="12"/>
    </row>
    <row r="31" ht="15.75" spans="1:12">
      <c r="A31" s="2"/>
      <c r="B31" s="7">
        <f>ROW(B31)-ROW($B$2)</f>
        <v>29</v>
      </c>
      <c r="C31" s="8" t="s">
        <v>16</v>
      </c>
      <c r="D31" s="9" t="s">
        <v>134</v>
      </c>
      <c r="E31" s="10" t="s">
        <v>135</v>
      </c>
      <c r="F31" s="9" t="s">
        <v>19</v>
      </c>
      <c r="G31" s="10" t="s">
        <v>136</v>
      </c>
      <c r="H31" s="9" t="s">
        <v>137</v>
      </c>
      <c r="I31" s="10" t="s">
        <v>138</v>
      </c>
      <c r="J31" s="17"/>
      <c r="K31" s="18">
        <v>1</v>
      </c>
      <c r="L31" s="9"/>
    </row>
    <row r="32" ht="15.75" spans="1:12">
      <c r="A32" s="2"/>
      <c r="B32" s="7">
        <f t="shared" si="0"/>
        <v>30</v>
      </c>
      <c r="C32" s="8" t="s">
        <v>16</v>
      </c>
      <c r="D32" s="12" t="s">
        <v>139</v>
      </c>
      <c r="E32" s="13" t="s">
        <v>140</v>
      </c>
      <c r="F32" s="12" t="s">
        <v>19</v>
      </c>
      <c r="G32" s="13" t="s">
        <v>141</v>
      </c>
      <c r="H32" s="12" t="s">
        <v>83</v>
      </c>
      <c r="I32" s="13" t="s">
        <v>32</v>
      </c>
      <c r="J32" s="19"/>
      <c r="K32" s="20">
        <v>1</v>
      </c>
      <c r="L32" s="12"/>
    </row>
    <row r="33" ht="15.75" spans="1:12">
      <c r="A33" s="2"/>
      <c r="B33" s="7">
        <f>ROW(B33)-ROW($B$2)</f>
        <v>31</v>
      </c>
      <c r="C33" s="8" t="s">
        <v>16</v>
      </c>
      <c r="D33" s="9" t="s">
        <v>142</v>
      </c>
      <c r="E33" s="10" t="s">
        <v>18</v>
      </c>
      <c r="F33" s="9" t="s">
        <v>19</v>
      </c>
      <c r="G33" s="10" t="s">
        <v>143</v>
      </c>
      <c r="H33" s="9" t="s">
        <v>83</v>
      </c>
      <c r="I33" s="10" t="s">
        <v>22</v>
      </c>
      <c r="J33" s="17"/>
      <c r="K33" s="18">
        <v>4</v>
      </c>
      <c r="L33" s="9"/>
    </row>
    <row r="34" ht="15.75" spans="1:12">
      <c r="A34" s="2"/>
      <c r="B34" s="7">
        <f t="shared" si="0"/>
        <v>32</v>
      </c>
      <c r="C34" s="8" t="s">
        <v>16</v>
      </c>
      <c r="D34" s="12" t="s">
        <v>144</v>
      </c>
      <c r="E34" s="13" t="s">
        <v>145</v>
      </c>
      <c r="F34" s="12" t="s">
        <v>64</v>
      </c>
      <c r="G34" s="13" t="s">
        <v>146</v>
      </c>
      <c r="H34" s="12" t="s">
        <v>21</v>
      </c>
      <c r="I34" s="13" t="s">
        <v>147</v>
      </c>
      <c r="J34" s="19"/>
      <c r="K34" s="20">
        <v>1</v>
      </c>
      <c r="L34" s="12"/>
    </row>
    <row r="35" ht="15.75" spans="1:12">
      <c r="A35" s="2"/>
      <c r="B35" s="7">
        <f>ROW(B35)-ROW($B$2)</f>
        <v>33</v>
      </c>
      <c r="C35" s="8" t="s">
        <v>16</v>
      </c>
      <c r="D35" s="9" t="s">
        <v>148</v>
      </c>
      <c r="E35" s="10" t="s">
        <v>149</v>
      </c>
      <c r="F35" s="9" t="s">
        <v>64</v>
      </c>
      <c r="G35" s="10" t="s">
        <v>150</v>
      </c>
      <c r="H35" s="9" t="s">
        <v>21</v>
      </c>
      <c r="I35" s="10" t="s">
        <v>151</v>
      </c>
      <c r="J35" s="17"/>
      <c r="K35" s="18">
        <v>1</v>
      </c>
      <c r="L35" s="9"/>
    </row>
    <row r="36" ht="36.75" spans="1:12">
      <c r="A36" s="2"/>
      <c r="B36" s="7">
        <v>34</v>
      </c>
      <c r="C36" s="8" t="s">
        <v>16</v>
      </c>
      <c r="D36" s="9" t="s">
        <v>152</v>
      </c>
      <c r="E36" s="10" t="s">
        <v>153</v>
      </c>
      <c r="F36" s="9" t="s">
        <v>154</v>
      </c>
      <c r="G36" s="10" t="s">
        <v>154</v>
      </c>
      <c r="H36" s="9" t="s">
        <v>155</v>
      </c>
      <c r="I36" s="10" t="s">
        <v>38</v>
      </c>
      <c r="J36" s="17"/>
      <c r="K36" s="18">
        <v>1</v>
      </c>
      <c r="L36" s="9"/>
    </row>
    <row r="37" ht="24.75" spans="1:12">
      <c r="A37" s="2"/>
      <c r="B37" s="7">
        <f t="shared" si="0"/>
        <v>35</v>
      </c>
      <c r="C37" s="11" t="s">
        <v>156</v>
      </c>
      <c r="D37" s="12" t="s">
        <v>157</v>
      </c>
      <c r="E37" s="13" t="s">
        <v>158</v>
      </c>
      <c r="F37" s="12" t="s">
        <v>159</v>
      </c>
      <c r="G37" s="13" t="s">
        <v>160</v>
      </c>
      <c r="H37" s="12" t="s">
        <v>161</v>
      </c>
      <c r="I37" s="13" t="s">
        <v>160</v>
      </c>
      <c r="J37" s="19"/>
      <c r="K37" s="20">
        <v>1</v>
      </c>
      <c r="L37" s="12"/>
    </row>
    <row r="38" ht="24.75" spans="1:12">
      <c r="A38" s="2"/>
      <c r="B38" s="7">
        <f>ROW(B38)-ROW($B$2)</f>
        <v>36</v>
      </c>
      <c r="C38" s="8" t="s">
        <v>156</v>
      </c>
      <c r="D38" s="9" t="s">
        <v>162</v>
      </c>
      <c r="E38" s="10" t="s">
        <v>163</v>
      </c>
      <c r="F38" s="9" t="s">
        <v>164</v>
      </c>
      <c r="G38" s="10" t="s">
        <v>165</v>
      </c>
      <c r="H38" s="9" t="s">
        <v>166</v>
      </c>
      <c r="I38" s="10" t="s">
        <v>167</v>
      </c>
      <c r="J38" s="17"/>
      <c r="K38" s="18">
        <v>1</v>
      </c>
      <c r="L38" s="9"/>
    </row>
    <row r="39" ht="24.75" spans="1:12">
      <c r="A39" s="2"/>
      <c r="B39" s="7">
        <f t="shared" si="0"/>
        <v>37</v>
      </c>
      <c r="C39" s="11" t="s">
        <v>156</v>
      </c>
      <c r="D39" s="12" t="s">
        <v>168</v>
      </c>
      <c r="E39" s="13" t="s">
        <v>163</v>
      </c>
      <c r="F39" s="12" t="s">
        <v>164</v>
      </c>
      <c r="G39" s="13" t="s">
        <v>165</v>
      </c>
      <c r="H39" s="12" t="s">
        <v>166</v>
      </c>
      <c r="I39" s="13" t="s">
        <v>165</v>
      </c>
      <c r="J39" s="19"/>
      <c r="K39" s="20">
        <v>2</v>
      </c>
      <c r="L39" s="12"/>
    </row>
    <row r="40" ht="36.75" spans="1:12">
      <c r="A40" s="2"/>
      <c r="B40" s="7">
        <f>ROW(B40)-ROW($B$2)</f>
        <v>38</v>
      </c>
      <c r="C40" s="8" t="s">
        <v>156</v>
      </c>
      <c r="D40" s="9" t="s">
        <v>169</v>
      </c>
      <c r="E40" s="10" t="s">
        <v>170</v>
      </c>
      <c r="F40" s="9" t="s">
        <v>171</v>
      </c>
      <c r="G40" s="10" t="s">
        <v>172</v>
      </c>
      <c r="H40" s="9" t="s">
        <v>15</v>
      </c>
      <c r="I40" s="10" t="s">
        <v>172</v>
      </c>
      <c r="J40" s="17"/>
      <c r="K40" s="18">
        <v>1</v>
      </c>
      <c r="L40" s="9"/>
    </row>
    <row r="41" ht="24.75" spans="1:12">
      <c r="A41" s="2"/>
      <c r="B41" s="7">
        <f t="shared" si="0"/>
        <v>39</v>
      </c>
      <c r="C41" s="11" t="s">
        <v>156</v>
      </c>
      <c r="D41" s="12" t="s">
        <v>173</v>
      </c>
      <c r="E41" s="13" t="s">
        <v>174</v>
      </c>
      <c r="F41" s="12" t="s">
        <v>175</v>
      </c>
      <c r="G41" s="13" t="s">
        <v>176</v>
      </c>
      <c r="H41" s="12" t="s">
        <v>177</v>
      </c>
      <c r="I41" s="13" t="s">
        <v>176</v>
      </c>
      <c r="J41" s="19"/>
      <c r="K41" s="20">
        <v>1</v>
      </c>
      <c r="L41" s="12"/>
    </row>
    <row r="42" ht="24.75" spans="1:12">
      <c r="A42" s="2"/>
      <c r="B42" s="7">
        <f>ROW(B42)-ROW($B$2)</f>
        <v>40</v>
      </c>
      <c r="C42" s="8" t="s">
        <v>156</v>
      </c>
      <c r="D42" s="9" t="s">
        <v>178</v>
      </c>
      <c r="E42" s="10" t="s">
        <v>179</v>
      </c>
      <c r="F42" s="9" t="s">
        <v>171</v>
      </c>
      <c r="G42" s="10" t="s">
        <v>180</v>
      </c>
      <c r="H42" s="9" t="s">
        <v>181</v>
      </c>
      <c r="I42" s="10" t="s">
        <v>180</v>
      </c>
      <c r="J42" s="17"/>
      <c r="K42" s="18">
        <v>1</v>
      </c>
      <c r="L42" s="9"/>
    </row>
    <row r="43" ht="15.75" spans="1:12">
      <c r="A43" s="2"/>
      <c r="B43" s="7">
        <f t="shared" si="0"/>
        <v>41</v>
      </c>
      <c r="C43" s="11" t="s">
        <v>156</v>
      </c>
      <c r="D43" s="12" t="s">
        <v>182</v>
      </c>
      <c r="E43" s="13" t="s">
        <v>183</v>
      </c>
      <c r="F43" s="12" t="s">
        <v>184</v>
      </c>
      <c r="G43" s="13" t="s">
        <v>185</v>
      </c>
      <c r="H43" s="12" t="s">
        <v>15</v>
      </c>
      <c r="I43" s="13" t="s">
        <v>185</v>
      </c>
      <c r="J43" s="19"/>
      <c r="K43" s="20">
        <v>1</v>
      </c>
      <c r="L43" s="12"/>
    </row>
    <row r="44" ht="24.75" spans="1:12">
      <c r="A44" s="2"/>
      <c r="B44" s="7">
        <f>ROW(B44)-ROW($B$2)</f>
        <v>42</v>
      </c>
      <c r="C44" s="8" t="s">
        <v>186</v>
      </c>
      <c r="D44" s="9" t="s">
        <v>187</v>
      </c>
      <c r="E44" s="10" t="s">
        <v>188</v>
      </c>
      <c r="F44" s="9" t="s">
        <v>189</v>
      </c>
      <c r="G44" s="10" t="s">
        <v>190</v>
      </c>
      <c r="H44" s="9" t="s">
        <v>191</v>
      </c>
      <c r="I44" s="10" t="s">
        <v>190</v>
      </c>
      <c r="J44" s="17"/>
      <c r="K44" s="18">
        <v>2</v>
      </c>
      <c r="L44" s="9"/>
    </row>
    <row r="45" ht="15.75" spans="1:12">
      <c r="A45" s="2"/>
      <c r="B45" s="7">
        <f t="shared" si="0"/>
        <v>43</v>
      </c>
      <c r="C45" s="11" t="s">
        <v>192</v>
      </c>
      <c r="D45" s="12" t="s">
        <v>193</v>
      </c>
      <c r="E45" s="13" t="s">
        <v>194</v>
      </c>
      <c r="F45" s="12" t="s">
        <v>195</v>
      </c>
      <c r="G45" s="13" t="s">
        <v>196</v>
      </c>
      <c r="H45" s="12" t="s">
        <v>197</v>
      </c>
      <c r="I45" s="13" t="s">
        <v>196</v>
      </c>
      <c r="J45" s="19"/>
      <c r="K45" s="20">
        <v>5</v>
      </c>
      <c r="L45" s="12"/>
    </row>
    <row r="46" ht="15.75" spans="1:12">
      <c r="A46" s="2"/>
      <c r="B46" s="7">
        <f>ROW(B46)-ROW($B$2)</f>
        <v>44</v>
      </c>
      <c r="C46" s="8" t="s">
        <v>192</v>
      </c>
      <c r="D46" s="9" t="s">
        <v>198</v>
      </c>
      <c r="E46" s="10" t="s">
        <v>199</v>
      </c>
      <c r="F46" s="9" t="s">
        <v>200</v>
      </c>
      <c r="G46" s="10" t="s">
        <v>201</v>
      </c>
      <c r="H46" s="9" t="s">
        <v>197</v>
      </c>
      <c r="I46" s="10" t="s">
        <v>201</v>
      </c>
      <c r="J46" s="17"/>
      <c r="K46" s="18">
        <v>3</v>
      </c>
      <c r="L46" s="9"/>
    </row>
    <row r="47" ht="24.75" spans="1:12">
      <c r="A47" s="2"/>
      <c r="B47" s="7">
        <f t="shared" si="0"/>
        <v>45</v>
      </c>
      <c r="C47" s="11" t="s">
        <v>192</v>
      </c>
      <c r="D47" s="12" t="s">
        <v>202</v>
      </c>
      <c r="E47" s="13" t="s">
        <v>203</v>
      </c>
      <c r="F47" s="12" t="s">
        <v>204</v>
      </c>
      <c r="G47" s="13" t="s">
        <v>205</v>
      </c>
      <c r="H47" s="12" t="s">
        <v>102</v>
      </c>
      <c r="I47" s="13" t="s">
        <v>205</v>
      </c>
      <c r="J47" s="19"/>
      <c r="K47" s="20">
        <v>2</v>
      </c>
      <c r="L47" s="12"/>
    </row>
    <row r="48" ht="15.75" spans="1:12">
      <c r="A48" s="2"/>
      <c r="B48" s="7">
        <f>ROW(B48)-ROW($B$2)</f>
        <v>46</v>
      </c>
      <c r="C48" s="8" t="s">
        <v>192</v>
      </c>
      <c r="D48" s="9" t="s">
        <v>206</v>
      </c>
      <c r="E48" s="10" t="s">
        <v>194</v>
      </c>
      <c r="F48" s="9" t="s">
        <v>195</v>
      </c>
      <c r="G48" s="10" t="s">
        <v>196</v>
      </c>
      <c r="H48" s="9" t="s">
        <v>197</v>
      </c>
      <c r="I48" s="10" t="s">
        <v>207</v>
      </c>
      <c r="J48" s="17"/>
      <c r="K48" s="18">
        <v>7</v>
      </c>
      <c r="L48" s="9"/>
    </row>
    <row r="49" ht="24.75" spans="1:12">
      <c r="A49" s="2"/>
      <c r="B49" s="7">
        <f t="shared" si="0"/>
        <v>47</v>
      </c>
      <c r="C49" s="11" t="s">
        <v>208</v>
      </c>
      <c r="D49" s="12" t="s">
        <v>209</v>
      </c>
      <c r="E49" s="13" t="s">
        <v>210</v>
      </c>
      <c r="F49" s="12" t="s">
        <v>211</v>
      </c>
      <c r="G49" s="13" t="s">
        <v>212</v>
      </c>
      <c r="H49" s="12" t="s">
        <v>213</v>
      </c>
      <c r="I49" s="13" t="s">
        <v>212</v>
      </c>
      <c r="J49" s="19"/>
      <c r="K49" s="20">
        <v>1</v>
      </c>
      <c r="L49" s="12"/>
    </row>
    <row r="50" ht="36.75" spans="1:12">
      <c r="A50" s="2"/>
      <c r="B50" s="7">
        <f>ROW(B50)-ROW($B$2)</f>
        <v>48</v>
      </c>
      <c r="C50" s="8" t="s">
        <v>214</v>
      </c>
      <c r="D50" s="9" t="s">
        <v>215</v>
      </c>
      <c r="E50" s="10" t="s">
        <v>216</v>
      </c>
      <c r="F50" s="9" t="s">
        <v>217</v>
      </c>
      <c r="G50" s="10" t="s">
        <v>217</v>
      </c>
      <c r="H50" s="9" t="s">
        <v>218</v>
      </c>
      <c r="I50" s="10" t="s">
        <v>217</v>
      </c>
      <c r="J50" s="17"/>
      <c r="K50" s="18">
        <v>1</v>
      </c>
      <c r="L50" s="9"/>
    </row>
    <row r="51" ht="26.25" spans="1:12">
      <c r="A51" s="2"/>
      <c r="B51" s="7">
        <f t="shared" si="0"/>
        <v>49</v>
      </c>
      <c r="C51" s="11" t="s">
        <v>219</v>
      </c>
      <c r="D51" s="12" t="s">
        <v>220</v>
      </c>
      <c r="E51" s="13" t="s">
        <v>221</v>
      </c>
      <c r="F51" s="12" t="s">
        <v>222</v>
      </c>
      <c r="G51" s="13" t="s">
        <v>222</v>
      </c>
      <c r="H51" s="12" t="s">
        <v>223</v>
      </c>
      <c r="I51" s="13" t="s">
        <v>222</v>
      </c>
      <c r="J51" s="19"/>
      <c r="K51" s="20">
        <v>1</v>
      </c>
      <c r="L51" s="12"/>
    </row>
    <row r="52" ht="15.75" spans="1:12">
      <c r="A52" s="2"/>
      <c r="B52" s="7">
        <f>ROW(B52)-ROW($B$2)</f>
        <v>50</v>
      </c>
      <c r="C52" s="8" t="s">
        <v>224</v>
      </c>
      <c r="D52" s="9" t="s">
        <v>225</v>
      </c>
      <c r="E52" s="10" t="s">
        <v>226</v>
      </c>
      <c r="F52" s="9" t="s">
        <v>227</v>
      </c>
      <c r="G52" s="10" t="s">
        <v>228</v>
      </c>
      <c r="H52" s="9"/>
      <c r="I52" s="10" t="s">
        <v>228</v>
      </c>
      <c r="J52" s="17"/>
      <c r="K52" s="18">
        <v>2</v>
      </c>
      <c r="L52" s="9"/>
    </row>
    <row r="53" ht="26.25" spans="1:12">
      <c r="A53" s="2"/>
      <c r="B53" s="7">
        <f t="shared" si="0"/>
        <v>51</v>
      </c>
      <c r="C53" s="11" t="s">
        <v>229</v>
      </c>
      <c r="D53" s="12" t="s">
        <v>230</v>
      </c>
      <c r="E53" s="13" t="s">
        <v>231</v>
      </c>
      <c r="F53" s="12" t="s">
        <v>232</v>
      </c>
      <c r="G53" s="13" t="s">
        <v>232</v>
      </c>
      <c r="H53" s="12" t="s">
        <v>223</v>
      </c>
      <c r="I53" s="13">
        <v>532610871</v>
      </c>
      <c r="J53" s="19"/>
      <c r="K53" s="20">
        <v>1</v>
      </c>
      <c r="L53" s="12"/>
    </row>
    <row r="54" ht="48.75" spans="1:12">
      <c r="A54" s="2"/>
      <c r="B54" s="7">
        <f t="shared" si="0"/>
        <v>52</v>
      </c>
      <c r="C54" s="11" t="s">
        <v>233</v>
      </c>
      <c r="D54" s="12" t="s">
        <v>234</v>
      </c>
      <c r="E54" s="13" t="s">
        <v>235</v>
      </c>
      <c r="F54" s="12" t="s">
        <v>236</v>
      </c>
      <c r="G54" s="13" t="s">
        <v>237</v>
      </c>
      <c r="H54" s="12" t="s">
        <v>238</v>
      </c>
      <c r="I54" s="13" t="s">
        <v>237</v>
      </c>
      <c r="J54" s="19"/>
      <c r="K54" s="20">
        <v>1</v>
      </c>
      <c r="L54" s="12"/>
    </row>
    <row r="55" ht="15.75" spans="1:12">
      <c r="A55" s="2"/>
      <c r="B55" s="7">
        <f>ROW(B55)-ROW($B$2)</f>
        <v>53</v>
      </c>
      <c r="C55" s="8" t="s">
        <v>239</v>
      </c>
      <c r="D55" s="9" t="s">
        <v>240</v>
      </c>
      <c r="E55" s="10" t="s">
        <v>241</v>
      </c>
      <c r="F55" s="9" t="s">
        <v>242</v>
      </c>
      <c r="G55" s="10">
        <v>61300311121</v>
      </c>
      <c r="H55" s="9" t="s">
        <v>243</v>
      </c>
      <c r="I55" s="10">
        <v>61300311121</v>
      </c>
      <c r="J55" s="17"/>
      <c r="K55" s="18">
        <v>3</v>
      </c>
      <c r="L55" s="9"/>
    </row>
    <row r="56" ht="24.75" spans="1:12">
      <c r="A56" s="2"/>
      <c r="B56" s="7">
        <f t="shared" si="0"/>
        <v>54</v>
      </c>
      <c r="C56" s="11" t="s">
        <v>244</v>
      </c>
      <c r="D56" s="12" t="s">
        <v>245</v>
      </c>
      <c r="E56" s="13" t="s">
        <v>246</v>
      </c>
      <c r="F56" s="12" t="s">
        <v>247</v>
      </c>
      <c r="G56" s="13" t="s">
        <v>248</v>
      </c>
      <c r="H56" s="12" t="s">
        <v>238</v>
      </c>
      <c r="I56" s="13" t="s">
        <v>247</v>
      </c>
      <c r="J56" s="19"/>
      <c r="K56" s="20">
        <v>1</v>
      </c>
      <c r="L56" s="12"/>
    </row>
    <row r="57" ht="48.75" spans="1:12">
      <c r="A57" s="2"/>
      <c r="B57" s="7">
        <f>ROW(B57)-ROW($B$2)</f>
        <v>55</v>
      </c>
      <c r="C57" s="8" t="s">
        <v>249</v>
      </c>
      <c r="D57" s="9" t="s">
        <v>250</v>
      </c>
      <c r="E57" s="10" t="s">
        <v>251</v>
      </c>
      <c r="F57" s="9" t="s">
        <v>252</v>
      </c>
      <c r="G57" s="10" t="s">
        <v>252</v>
      </c>
      <c r="H57" s="9" t="s">
        <v>253</v>
      </c>
      <c r="I57" s="10" t="s">
        <v>252</v>
      </c>
      <c r="J57" s="17"/>
      <c r="K57" s="18">
        <v>1</v>
      </c>
      <c r="L57" s="9"/>
    </row>
    <row r="58" ht="15.75" spans="1:12">
      <c r="A58" s="2"/>
      <c r="B58" s="7">
        <f t="shared" si="0"/>
        <v>56</v>
      </c>
      <c r="C58" s="11" t="s">
        <v>254</v>
      </c>
      <c r="D58" s="12" t="s">
        <v>255</v>
      </c>
      <c r="E58" s="13" t="s">
        <v>256</v>
      </c>
      <c r="F58" s="12" t="s">
        <v>257</v>
      </c>
      <c r="G58" s="13" t="s">
        <v>258</v>
      </c>
      <c r="H58" s="12" t="s">
        <v>31</v>
      </c>
      <c r="I58" s="13" t="s">
        <v>259</v>
      </c>
      <c r="J58" s="19"/>
      <c r="K58" s="20">
        <v>1</v>
      </c>
      <c r="L58" s="12"/>
    </row>
    <row r="59" ht="24.75" spans="1:12">
      <c r="A59" s="2"/>
      <c r="B59" s="7">
        <f>ROW(B59)-ROW($B$2)</f>
        <v>57</v>
      </c>
      <c r="C59" s="8" t="s">
        <v>254</v>
      </c>
      <c r="D59" s="9" t="s">
        <v>260</v>
      </c>
      <c r="E59" s="10" t="s">
        <v>261</v>
      </c>
      <c r="F59" s="9" t="s">
        <v>262</v>
      </c>
      <c r="G59" s="10" t="s">
        <v>262</v>
      </c>
      <c r="H59" s="9" t="s">
        <v>263</v>
      </c>
      <c r="I59" s="10" t="s">
        <v>264</v>
      </c>
      <c r="J59" s="17"/>
      <c r="K59" s="18">
        <v>1</v>
      </c>
      <c r="L59" s="9"/>
    </row>
    <row r="60" ht="36.75" spans="1:12">
      <c r="A60" s="2"/>
      <c r="B60" s="7">
        <f t="shared" si="0"/>
        <v>58</v>
      </c>
      <c r="C60" s="11" t="s">
        <v>254</v>
      </c>
      <c r="D60" s="12" t="s">
        <v>265</v>
      </c>
      <c r="E60" s="13" t="s">
        <v>266</v>
      </c>
      <c r="F60" s="12" t="s">
        <v>267</v>
      </c>
      <c r="G60" s="13" t="s">
        <v>267</v>
      </c>
      <c r="H60" s="12" t="s">
        <v>268</v>
      </c>
      <c r="I60" s="13" t="s">
        <v>269</v>
      </c>
      <c r="J60" s="19"/>
      <c r="K60" s="20">
        <v>1</v>
      </c>
      <c r="L60" s="12"/>
    </row>
    <row r="61" ht="15.75" spans="1:12">
      <c r="A61" s="2"/>
      <c r="B61" s="7">
        <f>ROW(B61)-ROW($B$2)</f>
        <v>59</v>
      </c>
      <c r="C61" s="8" t="s">
        <v>254</v>
      </c>
      <c r="D61" s="9" t="s">
        <v>270</v>
      </c>
      <c r="E61" s="10" t="s">
        <v>271</v>
      </c>
      <c r="F61" s="9" t="s">
        <v>272</v>
      </c>
      <c r="G61" s="10" t="s">
        <v>273</v>
      </c>
      <c r="H61" s="9" t="s">
        <v>31</v>
      </c>
      <c r="I61" s="10" t="s">
        <v>274</v>
      </c>
      <c r="J61" s="17"/>
      <c r="K61" s="18">
        <v>1</v>
      </c>
      <c r="L61" s="9"/>
    </row>
    <row r="62" ht="15.75" spans="1:12">
      <c r="A62" s="2"/>
      <c r="B62" s="7">
        <f t="shared" si="0"/>
        <v>60</v>
      </c>
      <c r="C62" s="11" t="s">
        <v>254</v>
      </c>
      <c r="D62" s="12" t="s">
        <v>275</v>
      </c>
      <c r="E62" s="13" t="s">
        <v>276</v>
      </c>
      <c r="F62" s="12" t="s">
        <v>272</v>
      </c>
      <c r="G62" s="13" t="s">
        <v>277</v>
      </c>
      <c r="H62" s="12" t="s">
        <v>197</v>
      </c>
      <c r="I62" s="13" t="s">
        <v>278</v>
      </c>
      <c r="J62" s="19"/>
      <c r="K62" s="20">
        <v>1</v>
      </c>
      <c r="L62" s="12"/>
    </row>
    <row r="63" ht="24.75" spans="1:12">
      <c r="A63" s="2"/>
      <c r="B63" s="7">
        <f>ROW(B63)-ROW($B$2)</f>
        <v>61</v>
      </c>
      <c r="C63" s="8" t="s">
        <v>279</v>
      </c>
      <c r="D63" s="9" t="s">
        <v>280</v>
      </c>
      <c r="E63" s="10" t="s">
        <v>281</v>
      </c>
      <c r="F63" s="9" t="s">
        <v>282</v>
      </c>
      <c r="G63" s="10" t="s">
        <v>283</v>
      </c>
      <c r="H63" s="9" t="s">
        <v>284</v>
      </c>
      <c r="I63" s="10" t="s">
        <v>285</v>
      </c>
      <c r="J63" s="17"/>
      <c r="K63" s="18">
        <v>1</v>
      </c>
      <c r="L63" s="9"/>
    </row>
    <row r="64" ht="24.75" spans="1:12">
      <c r="A64" s="2"/>
      <c r="B64" s="7">
        <f t="shared" si="0"/>
        <v>62</v>
      </c>
      <c r="C64" s="11" t="s">
        <v>279</v>
      </c>
      <c r="D64" s="12" t="s">
        <v>286</v>
      </c>
      <c r="E64" s="13" t="s">
        <v>287</v>
      </c>
      <c r="F64" s="12" t="s">
        <v>282</v>
      </c>
      <c r="G64" s="13" t="s">
        <v>288</v>
      </c>
      <c r="H64" s="12" t="s">
        <v>284</v>
      </c>
      <c r="I64" s="13" t="s">
        <v>289</v>
      </c>
      <c r="J64" s="19"/>
      <c r="K64" s="20">
        <v>2</v>
      </c>
      <c r="L64" s="12"/>
    </row>
    <row r="65" ht="15.75" spans="1:12">
      <c r="A65" s="2"/>
      <c r="B65" s="7">
        <f>ROW(B65)-ROW($B$2)</f>
        <v>63</v>
      </c>
      <c r="C65" s="8" t="s">
        <v>279</v>
      </c>
      <c r="D65" s="9" t="s">
        <v>290</v>
      </c>
      <c r="E65" s="10" t="s">
        <v>291</v>
      </c>
      <c r="F65" s="9" t="s">
        <v>292</v>
      </c>
      <c r="G65" s="10" t="s">
        <v>293</v>
      </c>
      <c r="H65" s="9" t="s">
        <v>294</v>
      </c>
      <c r="I65" s="10" t="s">
        <v>293</v>
      </c>
      <c r="J65" s="17"/>
      <c r="K65" s="18">
        <v>1</v>
      </c>
      <c r="L65" s="9"/>
    </row>
    <row r="66" ht="24.75" spans="1:12">
      <c r="A66" s="2"/>
      <c r="B66" s="7">
        <f t="shared" si="0"/>
        <v>64</v>
      </c>
      <c r="C66" s="11" t="s">
        <v>295</v>
      </c>
      <c r="D66" s="12" t="s">
        <v>296</v>
      </c>
      <c r="E66" s="13" t="s">
        <v>297</v>
      </c>
      <c r="F66" s="12" t="s">
        <v>298</v>
      </c>
      <c r="G66" s="13" t="s">
        <v>298</v>
      </c>
      <c r="H66" s="12" t="s">
        <v>299</v>
      </c>
      <c r="I66" s="13" t="s">
        <v>298</v>
      </c>
      <c r="J66" s="19"/>
      <c r="K66" s="20">
        <v>4</v>
      </c>
      <c r="L66" s="12"/>
    </row>
    <row r="67" ht="15.75" spans="1:12">
      <c r="A67" s="2"/>
      <c r="B67" s="7">
        <f>ROW(B67)-ROW($B$2)</f>
        <v>65</v>
      </c>
      <c r="C67" s="8" t="s">
        <v>300</v>
      </c>
      <c r="D67" s="9" t="s">
        <v>301</v>
      </c>
      <c r="E67" s="10" t="s">
        <v>302</v>
      </c>
      <c r="F67" s="9" t="s">
        <v>303</v>
      </c>
      <c r="G67" s="10" t="s">
        <v>303</v>
      </c>
      <c r="H67" s="9" t="s">
        <v>304</v>
      </c>
      <c r="I67" s="10" t="s">
        <v>303</v>
      </c>
      <c r="J67" s="17"/>
      <c r="K67" s="18">
        <v>1</v>
      </c>
      <c r="L67" s="9"/>
    </row>
    <row r="68" ht="15.75" spans="1:12">
      <c r="A68" s="2"/>
      <c r="B68" s="7">
        <f>ROW(B68)-ROW($B$2)</f>
        <v>66</v>
      </c>
      <c r="C68" s="8" t="s">
        <v>305</v>
      </c>
      <c r="D68" s="21" t="s">
        <v>306</v>
      </c>
      <c r="E68" s="22" t="s">
        <v>307</v>
      </c>
      <c r="F68" s="21" t="s">
        <v>308</v>
      </c>
      <c r="G68" s="22" t="s">
        <v>309</v>
      </c>
      <c r="H68" s="21" t="s">
        <v>310</v>
      </c>
      <c r="I68" s="22" t="s">
        <v>167</v>
      </c>
      <c r="J68" s="23"/>
      <c r="K68" s="24">
        <v>1</v>
      </c>
      <c r="L68" s="21" t="s">
        <v>311</v>
      </c>
    </row>
    <row r="69" ht="15.75" spans="1:12">
      <c r="A69" s="2"/>
      <c r="B69" s="7">
        <f t="shared" si="0"/>
        <v>67</v>
      </c>
      <c r="C69" s="11" t="s">
        <v>305</v>
      </c>
      <c r="D69" s="12" t="s">
        <v>312</v>
      </c>
      <c r="E69" s="13" t="s">
        <v>307</v>
      </c>
      <c r="F69" s="12" t="s">
        <v>308</v>
      </c>
      <c r="G69" s="13" t="s">
        <v>309</v>
      </c>
      <c r="H69" s="12" t="s">
        <v>310</v>
      </c>
      <c r="I69" s="13" t="s">
        <v>309</v>
      </c>
      <c r="J69" s="19"/>
      <c r="K69" s="20">
        <v>1</v>
      </c>
      <c r="L69" s="12"/>
    </row>
    <row r="70" ht="48.75" spans="1:12">
      <c r="A70" s="2"/>
      <c r="B70" s="7">
        <f>ROW(B70)-ROW($B$2)</f>
        <v>68</v>
      </c>
      <c r="C70" s="8" t="s">
        <v>305</v>
      </c>
      <c r="D70" s="9" t="s">
        <v>313</v>
      </c>
      <c r="E70" s="10" t="s">
        <v>314</v>
      </c>
      <c r="F70" s="9" t="s">
        <v>315</v>
      </c>
      <c r="G70" s="10" t="s">
        <v>316</v>
      </c>
      <c r="H70" s="9" t="s">
        <v>310</v>
      </c>
      <c r="I70" s="10" t="s">
        <v>316</v>
      </c>
      <c r="J70" s="17"/>
      <c r="K70" s="18">
        <v>1</v>
      </c>
      <c r="L70" s="9"/>
    </row>
    <row r="71" ht="36.75" spans="1:12">
      <c r="A71" s="2"/>
      <c r="B71" s="7">
        <f t="shared" si="0"/>
        <v>69</v>
      </c>
      <c r="C71" s="11" t="s">
        <v>305</v>
      </c>
      <c r="D71" s="12" t="s">
        <v>317</v>
      </c>
      <c r="E71" s="13" t="s">
        <v>318</v>
      </c>
      <c r="F71" s="12" t="s">
        <v>175</v>
      </c>
      <c r="G71" s="13" t="s">
        <v>319</v>
      </c>
      <c r="H71" s="12" t="s">
        <v>177</v>
      </c>
      <c r="I71" s="13" t="s">
        <v>319</v>
      </c>
      <c r="J71" s="19"/>
      <c r="K71" s="20">
        <v>2</v>
      </c>
      <c r="L71" s="12"/>
    </row>
    <row r="72" ht="15.75" spans="1:12">
      <c r="A72" s="2"/>
      <c r="B72" s="7">
        <f>ROW(B72)-ROW($B$2)</f>
        <v>70</v>
      </c>
      <c r="C72" s="8" t="s">
        <v>305</v>
      </c>
      <c r="D72" s="9" t="s">
        <v>320</v>
      </c>
      <c r="E72" s="10" t="s">
        <v>321</v>
      </c>
      <c r="F72" s="9" t="s">
        <v>175</v>
      </c>
      <c r="G72" s="10" t="s">
        <v>322</v>
      </c>
      <c r="H72" s="9" t="s">
        <v>310</v>
      </c>
      <c r="I72" s="10" t="s">
        <v>323</v>
      </c>
      <c r="J72" s="17"/>
      <c r="K72" s="18">
        <v>1</v>
      </c>
      <c r="L72" s="9"/>
    </row>
    <row r="73" ht="24.75" spans="1:12">
      <c r="A73" s="2"/>
      <c r="B73" s="7">
        <f t="shared" si="0"/>
        <v>71</v>
      </c>
      <c r="C73" s="11" t="s">
        <v>305</v>
      </c>
      <c r="D73" s="12" t="s">
        <v>324</v>
      </c>
      <c r="E73" s="13" t="s">
        <v>325</v>
      </c>
      <c r="F73" s="12" t="s">
        <v>308</v>
      </c>
      <c r="G73" s="13" t="s">
        <v>326</v>
      </c>
      <c r="H73" s="12" t="s">
        <v>327</v>
      </c>
      <c r="I73" s="13" t="s">
        <v>326</v>
      </c>
      <c r="J73" s="19"/>
      <c r="K73" s="20">
        <v>1</v>
      </c>
      <c r="L73" s="12"/>
    </row>
    <row r="74" ht="15.75" spans="1:12">
      <c r="A74" s="2"/>
      <c r="B74" s="7">
        <f>ROW(B74)-ROW($B$2)</f>
        <v>72</v>
      </c>
      <c r="C74" s="8" t="s">
        <v>305</v>
      </c>
      <c r="D74" s="9" t="s">
        <v>328</v>
      </c>
      <c r="E74" s="10" t="s">
        <v>329</v>
      </c>
      <c r="F74" s="9" t="s">
        <v>330</v>
      </c>
      <c r="G74" s="10" t="s">
        <v>331</v>
      </c>
      <c r="H74" s="9" t="s">
        <v>332</v>
      </c>
      <c r="I74" s="10" t="s">
        <v>331</v>
      </c>
      <c r="J74" s="17"/>
      <c r="K74" s="18">
        <v>1</v>
      </c>
      <c r="L74" s="9"/>
    </row>
    <row r="75" spans="1:12">
      <c r="A75" s="2"/>
      <c r="B75" s="7">
        <f t="shared" si="0"/>
        <v>73</v>
      </c>
      <c r="C75" s="11" t="s">
        <v>333</v>
      </c>
      <c r="D75" s="12" t="s">
        <v>334</v>
      </c>
      <c r="E75" s="13" t="s">
        <v>335</v>
      </c>
      <c r="F75" s="12" t="s">
        <v>336</v>
      </c>
      <c r="G75" s="13" t="s">
        <v>337</v>
      </c>
      <c r="H75" s="12" t="s">
        <v>21</v>
      </c>
      <c r="I75" s="13" t="s">
        <v>338</v>
      </c>
      <c r="J75" s="19"/>
      <c r="K75" s="20">
        <v>4</v>
      </c>
      <c r="L75" s="12"/>
    </row>
    <row r="76" ht="15.75" spans="1:12">
      <c r="A76" s="2"/>
      <c r="B76" s="7">
        <f>ROW(B76)-ROW($B$2)</f>
        <v>74</v>
      </c>
      <c r="C76" s="8" t="s">
        <v>333</v>
      </c>
      <c r="D76" s="9" t="s">
        <v>339</v>
      </c>
      <c r="E76" s="10" t="s">
        <v>340</v>
      </c>
      <c r="F76" s="9" t="s">
        <v>341</v>
      </c>
      <c r="G76" s="10" t="s">
        <v>342</v>
      </c>
      <c r="H76" s="9" t="s">
        <v>21</v>
      </c>
      <c r="I76" s="10" t="s">
        <v>343</v>
      </c>
      <c r="J76" s="17"/>
      <c r="K76" s="18">
        <v>2</v>
      </c>
      <c r="L76" s="9"/>
    </row>
    <row r="77" ht="24.75" spans="1:12">
      <c r="A77" s="2"/>
      <c r="B77" s="7">
        <f t="shared" si="0"/>
        <v>75</v>
      </c>
      <c r="C77" s="11" t="s">
        <v>333</v>
      </c>
      <c r="D77" s="12" t="s">
        <v>344</v>
      </c>
      <c r="E77" s="13" t="s">
        <v>345</v>
      </c>
      <c r="F77" s="12" t="s">
        <v>341</v>
      </c>
      <c r="G77" s="13" t="s">
        <v>346</v>
      </c>
      <c r="H77" s="12" t="s">
        <v>21</v>
      </c>
      <c r="I77" s="13" t="s">
        <v>347</v>
      </c>
      <c r="J77" s="19"/>
      <c r="K77" s="20">
        <v>20</v>
      </c>
      <c r="L77" s="12"/>
    </row>
    <row r="78" ht="15.75" spans="1:12">
      <c r="A78" s="2"/>
      <c r="B78" s="7">
        <f>ROW(B78)-ROW($B$2)</f>
        <v>76</v>
      </c>
      <c r="C78" s="8" t="s">
        <v>333</v>
      </c>
      <c r="D78" s="9" t="s">
        <v>348</v>
      </c>
      <c r="E78" s="10" t="s">
        <v>349</v>
      </c>
      <c r="F78" s="9" t="s">
        <v>336</v>
      </c>
      <c r="G78" s="10" t="s">
        <v>350</v>
      </c>
      <c r="H78" s="9" t="s">
        <v>21</v>
      </c>
      <c r="I78" s="10" t="s">
        <v>351</v>
      </c>
      <c r="J78" s="17"/>
      <c r="K78" s="18">
        <v>6</v>
      </c>
      <c r="L78" s="9"/>
    </row>
    <row r="79" ht="15.75" spans="1:12">
      <c r="A79" s="2"/>
      <c r="B79" s="7">
        <f t="shared" si="0"/>
        <v>77</v>
      </c>
      <c r="C79" s="11" t="s">
        <v>333</v>
      </c>
      <c r="D79" s="12" t="s">
        <v>352</v>
      </c>
      <c r="E79" s="13" t="s">
        <v>353</v>
      </c>
      <c r="F79" s="12" t="s">
        <v>341</v>
      </c>
      <c r="G79" s="13" t="s">
        <v>354</v>
      </c>
      <c r="H79" s="12" t="s">
        <v>21</v>
      </c>
      <c r="I79" s="13" t="s">
        <v>355</v>
      </c>
      <c r="J79" s="19"/>
      <c r="K79" s="20">
        <v>2</v>
      </c>
      <c r="L79" s="12"/>
    </row>
    <row r="80" spans="1:12">
      <c r="A80" s="2"/>
      <c r="B80" s="7">
        <f>ROW(B80)-ROW($B$2)</f>
        <v>78</v>
      </c>
      <c r="C80" s="8" t="s">
        <v>333</v>
      </c>
      <c r="D80" s="9" t="s">
        <v>356</v>
      </c>
      <c r="E80" s="10" t="s">
        <v>357</v>
      </c>
      <c r="F80" s="9" t="s">
        <v>341</v>
      </c>
      <c r="G80" s="10" t="s">
        <v>358</v>
      </c>
      <c r="H80" s="9" t="s">
        <v>21</v>
      </c>
      <c r="I80" s="10" t="s">
        <v>359</v>
      </c>
      <c r="J80" s="17"/>
      <c r="K80" s="18">
        <v>1</v>
      </c>
      <c r="L80" s="9"/>
    </row>
    <row r="81" ht="15.75" spans="1:12">
      <c r="A81" s="2"/>
      <c r="B81" s="7">
        <f t="shared" si="0"/>
        <v>79</v>
      </c>
      <c r="C81" s="11" t="s">
        <v>333</v>
      </c>
      <c r="D81" s="12" t="s">
        <v>360</v>
      </c>
      <c r="E81" s="13" t="s">
        <v>361</v>
      </c>
      <c r="F81" s="12" t="s">
        <v>336</v>
      </c>
      <c r="G81" s="13" t="s">
        <v>362</v>
      </c>
      <c r="H81" s="12" t="s">
        <v>21</v>
      </c>
      <c r="I81" s="13" t="s">
        <v>363</v>
      </c>
      <c r="J81" s="19"/>
      <c r="K81" s="20">
        <v>1</v>
      </c>
      <c r="L81" s="12"/>
    </row>
    <row r="82" ht="15.75" spans="1:12">
      <c r="A82" s="2"/>
      <c r="B82" s="7">
        <f>ROW(B82)-ROW($B$2)</f>
        <v>80</v>
      </c>
      <c r="C82" s="8" t="s">
        <v>333</v>
      </c>
      <c r="D82" s="9" t="s">
        <v>364</v>
      </c>
      <c r="E82" s="10" t="s">
        <v>365</v>
      </c>
      <c r="F82" s="9" t="s">
        <v>336</v>
      </c>
      <c r="G82" s="10" t="s">
        <v>366</v>
      </c>
      <c r="H82" s="9" t="s">
        <v>21</v>
      </c>
      <c r="I82" s="10" t="s">
        <v>367</v>
      </c>
      <c r="J82" s="17"/>
      <c r="K82" s="18">
        <v>1</v>
      </c>
      <c r="L82" s="9"/>
    </row>
    <row r="83" ht="15.75" spans="1:12">
      <c r="A83" s="2"/>
      <c r="B83" s="7">
        <f t="shared" si="0"/>
        <v>81</v>
      </c>
      <c r="C83" s="11" t="s">
        <v>333</v>
      </c>
      <c r="D83" s="12" t="s">
        <v>368</v>
      </c>
      <c r="E83" s="13" t="s">
        <v>369</v>
      </c>
      <c r="F83" s="12" t="s">
        <v>336</v>
      </c>
      <c r="G83" s="13" t="s">
        <v>370</v>
      </c>
      <c r="H83" s="12" t="s">
        <v>21</v>
      </c>
      <c r="I83" s="13" t="s">
        <v>371</v>
      </c>
      <c r="J83" s="19"/>
      <c r="K83" s="20">
        <v>1</v>
      </c>
      <c r="L83" s="12"/>
    </row>
    <row r="84" ht="15.75" spans="1:12">
      <c r="A84" s="2"/>
      <c r="B84" s="7">
        <f>ROW(B84)-ROW($B$2)</f>
        <v>82</v>
      </c>
      <c r="C84" s="8" t="s">
        <v>333</v>
      </c>
      <c r="D84" s="9" t="s">
        <v>372</v>
      </c>
      <c r="E84" s="10" t="s">
        <v>373</v>
      </c>
      <c r="F84" s="9" t="s">
        <v>336</v>
      </c>
      <c r="G84" s="10" t="s">
        <v>374</v>
      </c>
      <c r="H84" s="9" t="s">
        <v>21</v>
      </c>
      <c r="I84" s="10" t="s">
        <v>167</v>
      </c>
      <c r="J84" s="17"/>
      <c r="K84" s="18">
        <v>1</v>
      </c>
      <c r="L84" s="9"/>
    </row>
    <row r="85" ht="15.75" spans="1:12">
      <c r="A85" s="2"/>
      <c r="B85" s="7">
        <f t="shared" si="0"/>
        <v>83</v>
      </c>
      <c r="C85" s="11" t="s">
        <v>333</v>
      </c>
      <c r="D85" s="12" t="s">
        <v>375</v>
      </c>
      <c r="E85" s="13" t="s">
        <v>376</v>
      </c>
      <c r="F85" s="12" t="s">
        <v>336</v>
      </c>
      <c r="G85" s="13" t="s">
        <v>377</v>
      </c>
      <c r="H85" s="12" t="s">
        <v>21</v>
      </c>
      <c r="I85" s="13" t="s">
        <v>378</v>
      </c>
      <c r="J85" s="19"/>
      <c r="K85" s="20">
        <v>1</v>
      </c>
      <c r="L85" s="12"/>
    </row>
    <row r="86" ht="15.75" spans="1:12">
      <c r="A86" s="2"/>
      <c r="B86" s="7">
        <f>ROW(B86)-ROW($B$2)</f>
        <v>84</v>
      </c>
      <c r="C86" s="8" t="s">
        <v>333</v>
      </c>
      <c r="D86" s="9" t="s">
        <v>379</v>
      </c>
      <c r="E86" s="10" t="s">
        <v>380</v>
      </c>
      <c r="F86" s="9" t="s">
        <v>336</v>
      </c>
      <c r="G86" s="10" t="s">
        <v>381</v>
      </c>
      <c r="H86" s="9" t="s">
        <v>21</v>
      </c>
      <c r="I86" s="10" t="s">
        <v>382</v>
      </c>
      <c r="J86" s="17"/>
      <c r="K86" s="18">
        <v>1</v>
      </c>
      <c r="L86" s="9"/>
    </row>
    <row r="87" ht="15.75" spans="1:12">
      <c r="A87" s="2"/>
      <c r="B87" s="7">
        <f t="shared" si="0"/>
        <v>85</v>
      </c>
      <c r="C87" s="11" t="s">
        <v>333</v>
      </c>
      <c r="D87" s="12" t="s">
        <v>383</v>
      </c>
      <c r="E87" s="13" t="s">
        <v>384</v>
      </c>
      <c r="F87" s="12" t="s">
        <v>336</v>
      </c>
      <c r="G87" s="13" t="s">
        <v>385</v>
      </c>
      <c r="H87" s="12" t="s">
        <v>21</v>
      </c>
      <c r="I87" s="13" t="s">
        <v>386</v>
      </c>
      <c r="J87" s="19"/>
      <c r="K87" s="20">
        <v>1</v>
      </c>
      <c r="L87" s="12"/>
    </row>
    <row r="88" ht="15.75" spans="1:12">
      <c r="A88" s="2"/>
      <c r="B88" s="7">
        <f>ROW(B88)-ROW($B$2)</f>
        <v>86</v>
      </c>
      <c r="C88" s="8" t="s">
        <v>333</v>
      </c>
      <c r="D88" s="9" t="s">
        <v>387</v>
      </c>
      <c r="E88" s="10" t="s">
        <v>373</v>
      </c>
      <c r="F88" s="9" t="s">
        <v>336</v>
      </c>
      <c r="G88" s="10" t="s">
        <v>374</v>
      </c>
      <c r="H88" s="9" t="s">
        <v>21</v>
      </c>
      <c r="I88" s="10" t="s">
        <v>388</v>
      </c>
      <c r="J88" s="17"/>
      <c r="K88" s="18">
        <v>2</v>
      </c>
      <c r="L88" s="9"/>
    </row>
    <row r="89" ht="15.75" spans="1:12">
      <c r="A89" s="2"/>
      <c r="B89" s="7">
        <f t="shared" si="0"/>
        <v>87</v>
      </c>
      <c r="C89" s="8" t="s">
        <v>333</v>
      </c>
      <c r="D89" s="12" t="s">
        <v>389</v>
      </c>
      <c r="E89" s="13" t="s">
        <v>390</v>
      </c>
      <c r="F89" s="12" t="s">
        <v>336</v>
      </c>
      <c r="G89" s="13" t="s">
        <v>391</v>
      </c>
      <c r="H89" s="12" t="s">
        <v>21</v>
      </c>
      <c r="I89" s="13" t="s">
        <v>392</v>
      </c>
      <c r="J89" s="19"/>
      <c r="K89" s="20">
        <v>1</v>
      </c>
      <c r="L89" s="12"/>
    </row>
    <row r="90" ht="15.75" spans="1:12">
      <c r="A90" s="2"/>
      <c r="B90" s="7">
        <f>ROW(B90)-ROW($B$2)</f>
        <v>88</v>
      </c>
      <c r="C90" s="8" t="s">
        <v>333</v>
      </c>
      <c r="D90" s="9" t="s">
        <v>393</v>
      </c>
      <c r="E90" s="10" t="s">
        <v>394</v>
      </c>
      <c r="F90" s="9" t="s">
        <v>336</v>
      </c>
      <c r="G90" s="10" t="s">
        <v>395</v>
      </c>
      <c r="H90" s="9" t="s">
        <v>21</v>
      </c>
      <c r="I90" s="10" t="s">
        <v>347</v>
      </c>
      <c r="J90" s="17"/>
      <c r="K90" s="18">
        <v>6</v>
      </c>
      <c r="L90" s="9"/>
    </row>
    <row r="91" ht="15.75" spans="1:12">
      <c r="A91" s="2"/>
      <c r="B91" s="7">
        <f t="shared" si="0"/>
        <v>89</v>
      </c>
      <c r="C91" s="11" t="s">
        <v>333</v>
      </c>
      <c r="D91" s="12" t="s">
        <v>396</v>
      </c>
      <c r="E91" s="13" t="s">
        <v>397</v>
      </c>
      <c r="F91" s="12" t="s">
        <v>336</v>
      </c>
      <c r="G91" s="13" t="s">
        <v>398</v>
      </c>
      <c r="H91" s="12" t="s">
        <v>21</v>
      </c>
      <c r="I91" s="13" t="s">
        <v>399</v>
      </c>
      <c r="J91" s="19"/>
      <c r="K91" s="20">
        <v>3</v>
      </c>
      <c r="L91" s="12"/>
    </row>
    <row r="92" ht="15.75" spans="1:12">
      <c r="A92" s="2"/>
      <c r="B92" s="7">
        <f>ROW(B92)-ROW($B$2)</f>
        <v>90</v>
      </c>
      <c r="C92" s="8" t="s">
        <v>333</v>
      </c>
      <c r="D92" s="9" t="s">
        <v>400</v>
      </c>
      <c r="E92" s="10" t="s">
        <v>401</v>
      </c>
      <c r="F92" s="9" t="s">
        <v>336</v>
      </c>
      <c r="G92" s="10" t="s">
        <v>402</v>
      </c>
      <c r="H92" s="9" t="s">
        <v>21</v>
      </c>
      <c r="I92" s="10" t="s">
        <v>403</v>
      </c>
      <c r="J92" s="17"/>
      <c r="K92" s="18">
        <v>1</v>
      </c>
      <c r="L92" s="9"/>
    </row>
    <row r="93" ht="36.75" spans="1:12">
      <c r="A93" s="2"/>
      <c r="B93" s="7">
        <f t="shared" si="0"/>
        <v>91</v>
      </c>
      <c r="C93" s="11" t="s">
        <v>333</v>
      </c>
      <c r="D93" s="12" t="s">
        <v>404</v>
      </c>
      <c r="E93" s="13" t="s">
        <v>405</v>
      </c>
      <c r="F93" s="12" t="s">
        <v>336</v>
      </c>
      <c r="G93" s="13" t="s">
        <v>406</v>
      </c>
      <c r="H93" s="12" t="s">
        <v>407</v>
      </c>
      <c r="I93" s="13" t="s">
        <v>408</v>
      </c>
      <c r="J93" s="19"/>
      <c r="K93" s="20">
        <v>1</v>
      </c>
      <c r="L93" s="12"/>
    </row>
    <row r="94" ht="15.75" spans="1:12">
      <c r="A94" s="2"/>
      <c r="B94" s="7">
        <f>ROW(B94)-ROW($B$2)</f>
        <v>92</v>
      </c>
      <c r="C94" s="8" t="s">
        <v>333</v>
      </c>
      <c r="D94" s="9" t="s">
        <v>409</v>
      </c>
      <c r="E94" s="10" t="s">
        <v>410</v>
      </c>
      <c r="F94" s="9" t="s">
        <v>336</v>
      </c>
      <c r="G94" s="10" t="s">
        <v>411</v>
      </c>
      <c r="H94" s="9" t="s">
        <v>21</v>
      </c>
      <c r="I94" s="10" t="s">
        <v>412</v>
      </c>
      <c r="J94" s="17"/>
      <c r="K94" s="18">
        <v>1</v>
      </c>
      <c r="L94" s="9"/>
    </row>
    <row r="95" ht="15.75" spans="1:12">
      <c r="A95" s="2"/>
      <c r="B95" s="7">
        <f t="shared" si="0"/>
        <v>93</v>
      </c>
      <c r="C95" s="11" t="s">
        <v>333</v>
      </c>
      <c r="D95" s="12" t="s">
        <v>413</v>
      </c>
      <c r="E95" s="13" t="s">
        <v>414</v>
      </c>
      <c r="F95" s="12" t="s">
        <v>336</v>
      </c>
      <c r="G95" s="13" t="s">
        <v>415</v>
      </c>
      <c r="H95" s="12" t="s">
        <v>21</v>
      </c>
      <c r="I95" s="13" t="s">
        <v>416</v>
      </c>
      <c r="J95" s="19"/>
      <c r="K95" s="20">
        <v>2</v>
      </c>
      <c r="L95" s="12"/>
    </row>
    <row r="96" ht="15.75" spans="1:12">
      <c r="A96" s="2"/>
      <c r="B96" s="7">
        <f>ROW(B96)-ROW($B$2)</f>
        <v>94</v>
      </c>
      <c r="C96" s="8" t="s">
        <v>333</v>
      </c>
      <c r="D96" s="9" t="s">
        <v>417</v>
      </c>
      <c r="E96" s="10" t="s">
        <v>418</v>
      </c>
      <c r="F96" s="9" t="s">
        <v>336</v>
      </c>
      <c r="G96" s="10" t="s">
        <v>419</v>
      </c>
      <c r="H96" s="9" t="s">
        <v>21</v>
      </c>
      <c r="I96" s="10" t="s">
        <v>420</v>
      </c>
      <c r="J96" s="17"/>
      <c r="K96" s="18">
        <v>1</v>
      </c>
      <c r="L96" s="9"/>
    </row>
    <row r="97" ht="15.75" spans="1:12">
      <c r="A97" s="2"/>
      <c r="B97" s="7">
        <f t="shared" si="0"/>
        <v>95</v>
      </c>
      <c r="C97" s="11" t="s">
        <v>333</v>
      </c>
      <c r="D97" s="12" t="s">
        <v>421</v>
      </c>
      <c r="E97" s="13" t="s">
        <v>422</v>
      </c>
      <c r="F97" s="12" t="s">
        <v>336</v>
      </c>
      <c r="G97" s="13" t="s">
        <v>423</v>
      </c>
      <c r="H97" s="12" t="s">
        <v>21</v>
      </c>
      <c r="I97" s="13" t="s">
        <v>424</v>
      </c>
      <c r="J97" s="19"/>
      <c r="K97" s="20">
        <v>4</v>
      </c>
      <c r="L97" s="12"/>
    </row>
    <row r="98" ht="15.75" spans="1:12">
      <c r="A98" s="2"/>
      <c r="B98" s="7">
        <f>ROW(B98)-ROW($B$2)</f>
        <v>96</v>
      </c>
      <c r="C98" s="8" t="s">
        <v>333</v>
      </c>
      <c r="D98" s="9" t="s">
        <v>425</v>
      </c>
      <c r="E98" s="10" t="s">
        <v>426</v>
      </c>
      <c r="F98" s="9" t="s">
        <v>427</v>
      </c>
      <c r="G98" s="10" t="s">
        <v>428</v>
      </c>
      <c r="H98" s="9" t="s">
        <v>21</v>
      </c>
      <c r="I98" s="10" t="s">
        <v>429</v>
      </c>
      <c r="J98" s="17"/>
      <c r="K98" s="18">
        <v>1</v>
      </c>
      <c r="L98" s="9"/>
    </row>
    <row r="99" ht="15.75" spans="1:12">
      <c r="A99" s="2"/>
      <c r="B99" s="7">
        <f t="shared" si="0"/>
        <v>97</v>
      </c>
      <c r="C99" s="11" t="s">
        <v>333</v>
      </c>
      <c r="D99" s="12" t="s">
        <v>430</v>
      </c>
      <c r="E99" s="13" t="s">
        <v>431</v>
      </c>
      <c r="F99" s="12" t="s">
        <v>336</v>
      </c>
      <c r="G99" s="13" t="s">
        <v>432</v>
      </c>
      <c r="H99" s="12" t="s">
        <v>21</v>
      </c>
      <c r="I99" s="13" t="s">
        <v>433</v>
      </c>
      <c r="J99" s="19"/>
      <c r="K99" s="20">
        <v>1</v>
      </c>
      <c r="L99" s="12"/>
    </row>
    <row r="100" ht="15.75" spans="1:12">
      <c r="A100" s="2"/>
      <c r="B100" s="7">
        <f>ROW(B100)-ROW($B$2)</f>
        <v>98</v>
      </c>
      <c r="C100" s="8" t="s">
        <v>333</v>
      </c>
      <c r="D100" s="9" t="s">
        <v>434</v>
      </c>
      <c r="E100" s="10" t="s">
        <v>435</v>
      </c>
      <c r="F100" s="9" t="s">
        <v>336</v>
      </c>
      <c r="G100" s="10" t="s">
        <v>436</v>
      </c>
      <c r="H100" s="9" t="s">
        <v>21</v>
      </c>
      <c r="I100" s="10" t="s">
        <v>437</v>
      </c>
      <c r="J100" s="17"/>
      <c r="K100" s="18">
        <v>4</v>
      </c>
      <c r="L100" s="9"/>
    </row>
    <row r="101" ht="15.75" spans="1:12">
      <c r="A101" s="2"/>
      <c r="B101" s="7">
        <f t="shared" si="0"/>
        <v>99</v>
      </c>
      <c r="C101" s="11" t="s">
        <v>333</v>
      </c>
      <c r="D101" s="12" t="s">
        <v>438</v>
      </c>
      <c r="E101" s="13" t="s">
        <v>439</v>
      </c>
      <c r="F101" s="12" t="s">
        <v>336</v>
      </c>
      <c r="G101" s="13" t="s">
        <v>440</v>
      </c>
      <c r="H101" s="12" t="s">
        <v>21</v>
      </c>
      <c r="I101" s="13" t="s">
        <v>441</v>
      </c>
      <c r="J101" s="19"/>
      <c r="K101" s="20">
        <v>1</v>
      </c>
      <c r="L101" s="12"/>
    </row>
    <row r="102" ht="15.75" spans="1:12">
      <c r="A102" s="2"/>
      <c r="B102" s="7">
        <f t="shared" si="0"/>
        <v>100</v>
      </c>
      <c r="C102" s="8" t="s">
        <v>333</v>
      </c>
      <c r="D102" s="9" t="s">
        <v>442</v>
      </c>
      <c r="E102" s="10" t="s">
        <v>443</v>
      </c>
      <c r="F102" s="9" t="s">
        <v>336</v>
      </c>
      <c r="G102" s="10" t="s">
        <v>444</v>
      </c>
      <c r="H102" s="9" t="s">
        <v>445</v>
      </c>
      <c r="I102" s="10" t="s">
        <v>446</v>
      </c>
      <c r="J102" s="17"/>
      <c r="K102" s="18">
        <v>1</v>
      </c>
      <c r="L102" s="9"/>
    </row>
    <row r="103" ht="15.75" spans="1:12">
      <c r="A103" s="2"/>
      <c r="B103" s="7">
        <f t="shared" si="0"/>
        <v>101</v>
      </c>
      <c r="C103" s="8" t="s">
        <v>333</v>
      </c>
      <c r="D103" s="12" t="s">
        <v>447</v>
      </c>
      <c r="E103" s="13" t="s">
        <v>448</v>
      </c>
      <c r="F103" s="12" t="s">
        <v>336</v>
      </c>
      <c r="G103" s="13" t="s">
        <v>449</v>
      </c>
      <c r="H103" s="12" t="s">
        <v>21</v>
      </c>
      <c r="I103" s="13" t="s">
        <v>450</v>
      </c>
      <c r="J103" s="19"/>
      <c r="K103" s="20">
        <v>1</v>
      </c>
      <c r="L103" s="12"/>
    </row>
    <row r="104" ht="15.75" spans="1:12">
      <c r="A104" s="2"/>
      <c r="B104" s="7">
        <f t="shared" si="0"/>
        <v>102</v>
      </c>
      <c r="C104" s="8" t="s">
        <v>333</v>
      </c>
      <c r="D104" s="9" t="s">
        <v>451</v>
      </c>
      <c r="E104" s="10" t="s">
        <v>452</v>
      </c>
      <c r="F104" s="9" t="s">
        <v>341</v>
      </c>
      <c r="G104" s="10" t="s">
        <v>453</v>
      </c>
      <c r="H104" s="9" t="s">
        <v>454</v>
      </c>
      <c r="I104" s="10" t="s">
        <v>455</v>
      </c>
      <c r="J104" s="17"/>
      <c r="K104" s="18">
        <v>1</v>
      </c>
      <c r="L104" s="9"/>
    </row>
    <row r="105" ht="15.75" spans="1:12">
      <c r="A105" s="2"/>
      <c r="B105" s="7">
        <f t="shared" si="0"/>
        <v>103</v>
      </c>
      <c r="C105" s="11" t="s">
        <v>333</v>
      </c>
      <c r="D105" s="12" t="s">
        <v>456</v>
      </c>
      <c r="E105" s="13" t="s">
        <v>457</v>
      </c>
      <c r="F105" s="12" t="s">
        <v>341</v>
      </c>
      <c r="G105" s="13" t="s">
        <v>458</v>
      </c>
      <c r="H105" s="12" t="s">
        <v>21</v>
      </c>
      <c r="I105" s="13" t="s">
        <v>399</v>
      </c>
      <c r="J105" s="19"/>
      <c r="K105" s="20">
        <v>1</v>
      </c>
      <c r="L105" s="12"/>
    </row>
    <row r="106" ht="15.75" spans="1:12">
      <c r="A106" s="2"/>
      <c r="B106" s="7">
        <f t="shared" si="0"/>
        <v>104</v>
      </c>
      <c r="C106" s="8" t="s">
        <v>333</v>
      </c>
      <c r="D106" s="9" t="s">
        <v>459</v>
      </c>
      <c r="E106" s="10" t="s">
        <v>460</v>
      </c>
      <c r="F106" s="9" t="s">
        <v>341</v>
      </c>
      <c r="G106" s="10" t="s">
        <v>461</v>
      </c>
      <c r="H106" s="9" t="s">
        <v>21</v>
      </c>
      <c r="I106" s="10" t="s">
        <v>462</v>
      </c>
      <c r="J106" s="17"/>
      <c r="K106" s="18">
        <v>1</v>
      </c>
      <c r="L106" s="9"/>
    </row>
    <row r="107" ht="15.75" spans="1:12">
      <c r="A107" s="2"/>
      <c r="B107" s="7">
        <f t="shared" si="0"/>
        <v>105</v>
      </c>
      <c r="C107" s="11" t="s">
        <v>463</v>
      </c>
      <c r="D107" s="12" t="s">
        <v>464</v>
      </c>
      <c r="E107" s="13" t="s">
        <v>465</v>
      </c>
      <c r="F107" s="12" t="s">
        <v>466</v>
      </c>
      <c r="G107" s="13" t="s">
        <v>466</v>
      </c>
      <c r="H107" s="12" t="s">
        <v>21</v>
      </c>
      <c r="I107" s="13" t="s">
        <v>347</v>
      </c>
      <c r="J107" s="19"/>
      <c r="K107" s="20">
        <v>3</v>
      </c>
      <c r="L107" s="12"/>
    </row>
    <row r="108" ht="24.75" spans="1:12">
      <c r="A108" s="2"/>
      <c r="B108" s="7">
        <f t="shared" si="0"/>
        <v>106</v>
      </c>
      <c r="C108" s="8" t="s">
        <v>467</v>
      </c>
      <c r="D108" s="9" t="s">
        <v>468</v>
      </c>
      <c r="E108" s="10" t="s">
        <v>469</v>
      </c>
      <c r="F108" s="9" t="s">
        <v>470</v>
      </c>
      <c r="G108" s="10" t="s">
        <v>470</v>
      </c>
      <c r="H108" s="9" t="s">
        <v>471</v>
      </c>
      <c r="I108" s="10" t="s">
        <v>347</v>
      </c>
      <c r="J108" s="17"/>
      <c r="K108" s="18">
        <v>1</v>
      </c>
      <c r="L108" s="9"/>
    </row>
    <row r="109" ht="36.75" spans="1:12">
      <c r="A109" s="2"/>
      <c r="B109" s="7">
        <f t="shared" si="0"/>
        <v>107</v>
      </c>
      <c r="C109" s="8" t="s">
        <v>472</v>
      </c>
      <c r="D109" s="12" t="s">
        <v>473</v>
      </c>
      <c r="E109" s="13" t="s">
        <v>474</v>
      </c>
      <c r="F109" s="12" t="s">
        <v>475</v>
      </c>
      <c r="G109" s="13" t="s">
        <v>476</v>
      </c>
      <c r="H109" s="12" t="s">
        <v>477</v>
      </c>
      <c r="I109" s="13" t="s">
        <v>476</v>
      </c>
      <c r="J109" s="19"/>
      <c r="K109" s="20">
        <v>1</v>
      </c>
      <c r="L109" s="12"/>
    </row>
    <row r="110" ht="36.75" spans="1:12">
      <c r="A110" s="2"/>
      <c r="B110" s="7">
        <f t="shared" si="0"/>
        <v>108</v>
      </c>
      <c r="C110" s="8" t="s">
        <v>472</v>
      </c>
      <c r="D110" s="9" t="s">
        <v>478</v>
      </c>
      <c r="E110" s="10" t="s">
        <v>479</v>
      </c>
      <c r="F110" s="9" t="s">
        <v>480</v>
      </c>
      <c r="G110" s="10" t="s">
        <v>480</v>
      </c>
      <c r="H110" s="9" t="s">
        <v>481</v>
      </c>
      <c r="I110" s="10" t="s">
        <v>480</v>
      </c>
      <c r="J110" s="17"/>
      <c r="K110" s="18">
        <v>1</v>
      </c>
      <c r="L110" s="9"/>
    </row>
    <row r="111" ht="24.75" spans="1:12">
      <c r="A111" s="2"/>
      <c r="B111" s="7">
        <f t="shared" si="0"/>
        <v>109</v>
      </c>
      <c r="C111" s="11" t="s">
        <v>482</v>
      </c>
      <c r="D111" s="12" t="s">
        <v>483</v>
      </c>
      <c r="E111" s="13" t="s">
        <v>484</v>
      </c>
      <c r="F111" s="12" t="s">
        <v>485</v>
      </c>
      <c r="G111" s="13" t="s">
        <v>485</v>
      </c>
      <c r="H111" s="12" t="s">
        <v>486</v>
      </c>
      <c r="I111" s="13" t="s">
        <v>485</v>
      </c>
      <c r="J111" s="19"/>
      <c r="K111" s="20">
        <v>1</v>
      </c>
      <c r="L111" s="12"/>
    </row>
    <row r="112" ht="24.75" spans="1:12">
      <c r="A112" s="2"/>
      <c r="B112" s="7">
        <f t="shared" si="0"/>
        <v>110</v>
      </c>
      <c r="C112" s="8" t="s">
        <v>487</v>
      </c>
      <c r="D112" s="9" t="s">
        <v>488</v>
      </c>
      <c r="E112" s="10" t="s">
        <v>489</v>
      </c>
      <c r="F112" s="9" t="s">
        <v>490</v>
      </c>
      <c r="G112" s="10" t="s">
        <v>490</v>
      </c>
      <c r="H112" s="9" t="s">
        <v>213</v>
      </c>
      <c r="I112" s="10" t="s">
        <v>490</v>
      </c>
      <c r="J112" s="17"/>
      <c r="K112" s="18">
        <v>1</v>
      </c>
      <c r="L112" s="9"/>
    </row>
    <row r="113" ht="48.75" spans="1:12">
      <c r="A113" s="2"/>
      <c r="B113" s="7">
        <f t="shared" si="0"/>
        <v>111</v>
      </c>
      <c r="C113" s="11" t="s">
        <v>491</v>
      </c>
      <c r="D113" s="12" t="s">
        <v>492</v>
      </c>
      <c r="E113" s="13" t="s">
        <v>493</v>
      </c>
      <c r="F113" s="12" t="s">
        <v>494</v>
      </c>
      <c r="G113" s="13" t="s">
        <v>495</v>
      </c>
      <c r="H113" s="12" t="s">
        <v>496</v>
      </c>
      <c r="I113" s="13" t="s">
        <v>495</v>
      </c>
      <c r="J113" s="19"/>
      <c r="K113" s="20">
        <v>1</v>
      </c>
      <c r="L113" s="12"/>
    </row>
    <row r="114" ht="48.75" spans="1:12">
      <c r="A114" s="2"/>
      <c r="B114" s="7">
        <f t="shared" si="0"/>
        <v>112</v>
      </c>
      <c r="C114" s="8" t="s">
        <v>491</v>
      </c>
      <c r="D114" s="9" t="s">
        <v>497</v>
      </c>
      <c r="E114" s="10" t="s">
        <v>498</v>
      </c>
      <c r="F114" s="9" t="s">
        <v>494</v>
      </c>
      <c r="G114" s="10" t="s">
        <v>499</v>
      </c>
      <c r="H114" s="9" t="s">
        <v>496</v>
      </c>
      <c r="I114" s="10" t="s">
        <v>499</v>
      </c>
      <c r="J114" s="17"/>
      <c r="K114" s="18">
        <v>1</v>
      </c>
      <c r="L114" s="9"/>
    </row>
    <row r="115" ht="36.75" spans="1:12">
      <c r="A115" s="2"/>
      <c r="B115" s="7">
        <f t="shared" si="0"/>
        <v>113</v>
      </c>
      <c r="C115" s="11" t="s">
        <v>491</v>
      </c>
      <c r="D115" s="12" t="s">
        <v>500</v>
      </c>
      <c r="E115" s="13" t="s">
        <v>501</v>
      </c>
      <c r="F115" s="12" t="s">
        <v>502</v>
      </c>
      <c r="G115" s="13" t="s">
        <v>503</v>
      </c>
      <c r="H115" s="12" t="s">
        <v>504</v>
      </c>
      <c r="I115" s="13" t="s">
        <v>503</v>
      </c>
      <c r="J115" s="19"/>
      <c r="K115" s="20">
        <v>1</v>
      </c>
      <c r="L115" s="12"/>
    </row>
    <row r="116" ht="15.75" spans="1:12">
      <c r="A116" s="2"/>
      <c r="B116" s="7">
        <f t="shared" si="0"/>
        <v>114</v>
      </c>
      <c r="C116" s="8" t="s">
        <v>491</v>
      </c>
      <c r="D116" s="9" t="s">
        <v>505</v>
      </c>
      <c r="E116" s="10" t="s">
        <v>506</v>
      </c>
      <c r="F116" s="9" t="s">
        <v>507</v>
      </c>
      <c r="G116" s="10" t="s">
        <v>508</v>
      </c>
      <c r="H116" s="9" t="s">
        <v>509</v>
      </c>
      <c r="I116" s="10" t="s">
        <v>508</v>
      </c>
      <c r="J116" s="17"/>
      <c r="K116" s="18">
        <v>1</v>
      </c>
      <c r="L116" s="9"/>
    </row>
    <row r="117" ht="15.75" spans="1:12">
      <c r="A117" s="2"/>
      <c r="B117" s="7">
        <f t="shared" si="0"/>
        <v>115</v>
      </c>
      <c r="C117" s="11" t="s">
        <v>491</v>
      </c>
      <c r="D117" s="12" t="s">
        <v>510</v>
      </c>
      <c r="E117" s="13" t="s">
        <v>511</v>
      </c>
      <c r="F117" s="12" t="s">
        <v>512</v>
      </c>
      <c r="G117" s="13" t="s">
        <v>513</v>
      </c>
      <c r="H117" s="12" t="s">
        <v>514</v>
      </c>
      <c r="I117" s="13" t="s">
        <v>513</v>
      </c>
      <c r="J117" s="19"/>
      <c r="K117" s="20">
        <v>1</v>
      </c>
      <c r="L117" s="12"/>
    </row>
    <row r="118" ht="36.75" spans="1:12">
      <c r="A118" s="2"/>
      <c r="B118" s="7">
        <f t="shared" si="0"/>
        <v>116</v>
      </c>
      <c r="C118" s="8" t="s">
        <v>491</v>
      </c>
      <c r="D118" s="9" t="s">
        <v>515</v>
      </c>
      <c r="E118" s="10" t="s">
        <v>516</v>
      </c>
      <c r="F118" s="9" t="s">
        <v>517</v>
      </c>
      <c r="G118" s="10" t="s">
        <v>518</v>
      </c>
      <c r="H118" s="9" t="s">
        <v>519</v>
      </c>
      <c r="I118" s="10" t="s">
        <v>518</v>
      </c>
      <c r="J118" s="17"/>
      <c r="K118" s="18">
        <v>1</v>
      </c>
      <c r="L118" s="9"/>
    </row>
    <row r="119" ht="26.25" spans="1:12">
      <c r="A119" s="2"/>
      <c r="B119" s="7">
        <f t="shared" si="0"/>
        <v>117</v>
      </c>
      <c r="C119" s="11" t="s">
        <v>520</v>
      </c>
      <c r="D119" s="12" t="s">
        <v>521</v>
      </c>
      <c r="E119" s="13" t="s">
        <v>522</v>
      </c>
      <c r="F119" s="12" t="s">
        <v>523</v>
      </c>
      <c r="G119" s="13" t="s">
        <v>524</v>
      </c>
      <c r="H119" s="12" t="s">
        <v>525</v>
      </c>
      <c r="I119" s="13" t="s">
        <v>524</v>
      </c>
      <c r="J119" s="19"/>
      <c r="K119" s="20">
        <v>1</v>
      </c>
      <c r="L119" s="12"/>
    </row>
    <row r="120" ht="36.75" spans="1:12">
      <c r="A120" s="2"/>
      <c r="B120" s="7">
        <f t="shared" si="0"/>
        <v>118</v>
      </c>
      <c r="C120" s="8" t="s">
        <v>526</v>
      </c>
      <c r="D120" s="9" t="s">
        <v>527</v>
      </c>
      <c r="E120" s="10" t="s">
        <v>528</v>
      </c>
      <c r="F120" s="9" t="s">
        <v>529</v>
      </c>
      <c r="G120" s="10" t="s">
        <v>529</v>
      </c>
      <c r="H120" s="9" t="s">
        <v>530</v>
      </c>
      <c r="I120" s="10" t="s">
        <v>529</v>
      </c>
      <c r="J120" s="17"/>
      <c r="K120" s="18">
        <v>1</v>
      </c>
      <c r="L120" s="9"/>
    </row>
    <row r="121" ht="15.75" spans="1:12">
      <c r="A121" s="2"/>
      <c r="B121" s="7">
        <f t="shared" si="0"/>
        <v>119</v>
      </c>
      <c r="C121" s="11" t="s">
        <v>531</v>
      </c>
      <c r="D121" s="12" t="s">
        <v>532</v>
      </c>
      <c r="E121" s="13" t="s">
        <v>533</v>
      </c>
      <c r="F121" s="12" t="s">
        <v>534</v>
      </c>
      <c r="G121" s="13" t="s">
        <v>534</v>
      </c>
      <c r="H121" s="12" t="s">
        <v>535</v>
      </c>
      <c r="I121" s="13" t="s">
        <v>534</v>
      </c>
      <c r="J121" s="19"/>
      <c r="K121" s="20">
        <v>1</v>
      </c>
      <c r="L121" s="12"/>
    </row>
    <row r="122" ht="15.75" spans="1:12">
      <c r="A122" s="2"/>
      <c r="B122" s="7">
        <f t="shared" si="0"/>
        <v>120</v>
      </c>
      <c r="C122" s="8" t="s">
        <v>491</v>
      </c>
      <c r="D122" s="9" t="s">
        <v>536</v>
      </c>
      <c r="E122" s="10" t="s">
        <v>537</v>
      </c>
      <c r="F122" s="9" t="s">
        <v>538</v>
      </c>
      <c r="G122" s="10" t="s">
        <v>539</v>
      </c>
      <c r="H122" s="9" t="s">
        <v>540</v>
      </c>
      <c r="I122" s="10" t="s">
        <v>539</v>
      </c>
      <c r="J122" s="17"/>
      <c r="K122" s="18">
        <v>1</v>
      </c>
      <c r="L122" s="9"/>
    </row>
    <row r="123" ht="15.75" spans="1:12">
      <c r="A123" s="2"/>
      <c r="B123" s="7">
        <f t="shared" si="0"/>
        <v>121</v>
      </c>
      <c r="C123" s="11" t="s">
        <v>491</v>
      </c>
      <c r="D123" s="12" t="s">
        <v>541</v>
      </c>
      <c r="E123" s="13" t="s">
        <v>542</v>
      </c>
      <c r="F123" s="12" t="s">
        <v>543</v>
      </c>
      <c r="G123" s="13" t="s">
        <v>544</v>
      </c>
      <c r="H123" s="12" t="s">
        <v>514</v>
      </c>
      <c r="I123" s="13" t="s">
        <v>544</v>
      </c>
      <c r="J123" s="19"/>
      <c r="K123" s="20">
        <v>1</v>
      </c>
      <c r="L123" s="12"/>
    </row>
    <row r="124" ht="15.75" spans="1:12">
      <c r="A124" s="2"/>
      <c r="B124" s="7">
        <f t="shared" si="0"/>
        <v>122</v>
      </c>
      <c r="C124" s="8" t="s">
        <v>491</v>
      </c>
      <c r="D124" s="9" t="s">
        <v>545</v>
      </c>
      <c r="E124" s="10" t="s">
        <v>546</v>
      </c>
      <c r="F124" s="9" t="s">
        <v>547</v>
      </c>
      <c r="G124" s="10" t="s">
        <v>548</v>
      </c>
      <c r="H124" s="9" t="s">
        <v>549</v>
      </c>
      <c r="I124" s="10" t="s">
        <v>548</v>
      </c>
      <c r="J124" s="17"/>
      <c r="K124" s="18">
        <v>1</v>
      </c>
      <c r="L124" s="9"/>
    </row>
    <row r="125" ht="15.75" spans="1:12">
      <c r="A125" s="2"/>
      <c r="B125" s="7">
        <f t="shared" si="0"/>
        <v>123</v>
      </c>
      <c r="C125" s="11" t="s">
        <v>491</v>
      </c>
      <c r="D125" s="12" t="s">
        <v>550</v>
      </c>
      <c r="E125" s="13" t="s">
        <v>551</v>
      </c>
      <c r="F125" s="12" t="s">
        <v>552</v>
      </c>
      <c r="G125" s="13" t="s">
        <v>553</v>
      </c>
      <c r="H125" s="12" t="s">
        <v>549</v>
      </c>
      <c r="I125" s="13" t="s">
        <v>553</v>
      </c>
      <c r="J125" s="19"/>
      <c r="K125" s="20">
        <v>1</v>
      </c>
      <c r="L125" s="12"/>
    </row>
    <row r="126" ht="15.75" spans="1:12">
      <c r="A126" s="2"/>
      <c r="B126" s="7">
        <f t="shared" si="0"/>
        <v>124</v>
      </c>
      <c r="C126" s="8" t="s">
        <v>491</v>
      </c>
      <c r="D126" s="9" t="s">
        <v>554</v>
      </c>
      <c r="E126" s="10" t="s">
        <v>555</v>
      </c>
      <c r="F126" s="9" t="s">
        <v>556</v>
      </c>
      <c r="G126" s="10" t="s">
        <v>557</v>
      </c>
      <c r="H126" s="9" t="s">
        <v>558</v>
      </c>
      <c r="I126" s="10" t="s">
        <v>557</v>
      </c>
      <c r="J126" s="17"/>
      <c r="K126" s="18">
        <v>1</v>
      </c>
      <c r="L126" s="9"/>
    </row>
    <row r="127" ht="15.75" spans="1:12">
      <c r="A127" s="2"/>
      <c r="B127" s="7">
        <f t="shared" si="0"/>
        <v>125</v>
      </c>
      <c r="C127" s="11" t="s">
        <v>559</v>
      </c>
      <c r="D127" s="12" t="s">
        <v>560</v>
      </c>
      <c r="E127" s="13" t="s">
        <v>561</v>
      </c>
      <c r="F127" s="12" t="s">
        <v>562</v>
      </c>
      <c r="G127" s="13" t="s">
        <v>563</v>
      </c>
      <c r="H127" s="12" t="s">
        <v>564</v>
      </c>
      <c r="I127" s="13" t="s">
        <v>565</v>
      </c>
      <c r="J127" s="19"/>
      <c r="K127" s="20">
        <v>1</v>
      </c>
      <c r="L127" s="12"/>
    </row>
    <row r="128" ht="15.75" spans="1:12">
      <c r="A128" s="2"/>
      <c r="B128" s="7">
        <f t="shared" si="0"/>
        <v>126</v>
      </c>
      <c r="C128" s="8" t="s">
        <v>566</v>
      </c>
      <c r="D128" s="9" t="s">
        <v>567</v>
      </c>
      <c r="E128" s="10" t="s">
        <v>568</v>
      </c>
      <c r="F128" s="9" t="s">
        <v>569</v>
      </c>
      <c r="G128" s="10" t="s">
        <v>569</v>
      </c>
      <c r="H128" s="9" t="s">
        <v>549</v>
      </c>
      <c r="I128" s="10" t="s">
        <v>569</v>
      </c>
      <c r="J128" s="17"/>
      <c r="K128" s="18">
        <v>4</v>
      </c>
      <c r="L128" s="9"/>
    </row>
    <row r="129" ht="24.75" spans="1:12">
      <c r="A129" s="2"/>
      <c r="B129" s="7">
        <f t="shared" si="0"/>
        <v>127</v>
      </c>
      <c r="C129" s="11" t="s">
        <v>491</v>
      </c>
      <c r="D129" s="12" t="s">
        <v>570</v>
      </c>
      <c r="E129" s="13" t="s">
        <v>571</v>
      </c>
      <c r="F129" s="12" t="s">
        <v>572</v>
      </c>
      <c r="G129" s="13" t="s">
        <v>573</v>
      </c>
      <c r="H129" s="12" t="s">
        <v>574</v>
      </c>
      <c r="I129" s="13" t="s">
        <v>573</v>
      </c>
      <c r="J129" s="19"/>
      <c r="K129" s="20">
        <v>1</v>
      </c>
      <c r="L129" s="12"/>
    </row>
    <row r="130" ht="15.75" spans="1:12">
      <c r="A130" s="2"/>
      <c r="B130" s="7">
        <f t="shared" si="0"/>
        <v>128</v>
      </c>
      <c r="C130" s="8" t="s">
        <v>491</v>
      </c>
      <c r="D130" s="9" t="s">
        <v>575</v>
      </c>
      <c r="E130" s="10" t="s">
        <v>576</v>
      </c>
      <c r="F130" s="9" t="s">
        <v>577</v>
      </c>
      <c r="G130" s="10" t="s">
        <v>578</v>
      </c>
      <c r="H130" s="9" t="s">
        <v>514</v>
      </c>
      <c r="I130" s="10" t="s">
        <v>578</v>
      </c>
      <c r="J130" s="17"/>
      <c r="K130" s="18">
        <v>1</v>
      </c>
      <c r="L130" s="9"/>
    </row>
    <row r="131" ht="15.75" spans="1:12">
      <c r="A131" s="2"/>
      <c r="B131" s="7">
        <f t="shared" si="0"/>
        <v>129</v>
      </c>
      <c r="C131" s="11" t="s">
        <v>491</v>
      </c>
      <c r="D131" s="12" t="s">
        <v>579</v>
      </c>
      <c r="E131" s="13" t="s">
        <v>580</v>
      </c>
      <c r="F131" s="12" t="s">
        <v>581</v>
      </c>
      <c r="G131" s="13" t="s">
        <v>582</v>
      </c>
      <c r="H131" s="12" t="s">
        <v>514</v>
      </c>
      <c r="I131" s="13" t="s">
        <v>582</v>
      </c>
      <c r="J131" s="19"/>
      <c r="K131" s="20">
        <v>1</v>
      </c>
      <c r="L131" s="12"/>
    </row>
    <row r="132" ht="15.75" spans="1:12">
      <c r="A132" s="2"/>
      <c r="B132" s="7">
        <f t="shared" si="0"/>
        <v>130</v>
      </c>
      <c r="C132" s="8" t="s">
        <v>583</v>
      </c>
      <c r="D132" s="9" t="s">
        <v>584</v>
      </c>
      <c r="E132" s="10" t="s">
        <v>585</v>
      </c>
      <c r="F132" s="9" t="s">
        <v>586</v>
      </c>
      <c r="G132" s="10" t="s">
        <v>587</v>
      </c>
      <c r="H132" s="9" t="s">
        <v>161</v>
      </c>
      <c r="I132" s="10" t="s">
        <v>587</v>
      </c>
      <c r="J132" s="17"/>
      <c r="K132" s="18">
        <v>1</v>
      </c>
      <c r="L132" s="9"/>
    </row>
    <row r="133" ht="24.75" spans="1:12">
      <c r="A133" s="2"/>
      <c r="B133" s="7">
        <f t="shared" si="0"/>
        <v>131</v>
      </c>
      <c r="C133" s="11" t="s">
        <v>491</v>
      </c>
      <c r="D133" s="12" t="s">
        <v>588</v>
      </c>
      <c r="E133" s="13" t="s">
        <v>589</v>
      </c>
      <c r="F133" s="12" t="s">
        <v>590</v>
      </c>
      <c r="G133" s="13" t="s">
        <v>591</v>
      </c>
      <c r="H133" s="12" t="s">
        <v>592</v>
      </c>
      <c r="I133" s="13" t="s">
        <v>591</v>
      </c>
      <c r="J133" s="19"/>
      <c r="K133" s="20">
        <v>1</v>
      </c>
      <c r="L133" s="12"/>
    </row>
    <row r="134" ht="15.75" spans="1:12">
      <c r="A134" s="2"/>
      <c r="B134" s="7">
        <f t="shared" si="0"/>
        <v>132</v>
      </c>
      <c r="C134" s="8" t="s">
        <v>491</v>
      </c>
      <c r="D134" s="9" t="s">
        <v>593</v>
      </c>
      <c r="E134" s="10" t="s">
        <v>594</v>
      </c>
      <c r="F134" s="9" t="s">
        <v>595</v>
      </c>
      <c r="G134" s="10" t="s">
        <v>596</v>
      </c>
      <c r="H134" s="9" t="s">
        <v>597</v>
      </c>
      <c r="I134" s="10" t="s">
        <v>596</v>
      </c>
      <c r="J134" s="17"/>
      <c r="K134" s="18">
        <v>1</v>
      </c>
      <c r="L134" s="9"/>
    </row>
    <row r="135" ht="15.75" spans="1:12">
      <c r="A135" s="2"/>
      <c r="B135" s="7">
        <f t="shared" si="0"/>
        <v>133</v>
      </c>
      <c r="C135" s="11" t="s">
        <v>598</v>
      </c>
      <c r="D135" s="12" t="s">
        <v>599</v>
      </c>
      <c r="E135" s="13" t="s">
        <v>600</v>
      </c>
      <c r="F135" s="12" t="s">
        <v>601</v>
      </c>
      <c r="G135" s="13" t="s">
        <v>601</v>
      </c>
      <c r="H135" s="12" t="s">
        <v>602</v>
      </c>
      <c r="I135" s="13" t="s">
        <v>601</v>
      </c>
      <c r="J135" s="19"/>
      <c r="K135" s="20">
        <v>1</v>
      </c>
      <c r="L135" s="12"/>
    </row>
    <row r="136" ht="15.75" spans="1:12">
      <c r="A136" s="2"/>
      <c r="B136" s="7">
        <f t="shared" si="0"/>
        <v>134</v>
      </c>
      <c r="C136" s="8" t="s">
        <v>491</v>
      </c>
      <c r="D136" s="9" t="s">
        <v>603</v>
      </c>
      <c r="E136" s="10" t="s">
        <v>604</v>
      </c>
      <c r="F136" s="9" t="s">
        <v>605</v>
      </c>
      <c r="G136" s="10" t="s">
        <v>606</v>
      </c>
      <c r="H136" s="9" t="s">
        <v>607</v>
      </c>
      <c r="I136" s="10" t="s">
        <v>606</v>
      </c>
      <c r="J136" s="17"/>
      <c r="K136" s="18">
        <v>1</v>
      </c>
      <c r="L136" s="9"/>
    </row>
    <row r="137" ht="24.75" spans="1:12">
      <c r="A137" s="2"/>
      <c r="B137" s="7">
        <f t="shared" si="0"/>
        <v>135</v>
      </c>
      <c r="C137" s="11" t="s">
        <v>608</v>
      </c>
      <c r="D137" s="12" t="s">
        <v>609</v>
      </c>
      <c r="E137" s="13" t="s">
        <v>610</v>
      </c>
      <c r="F137" s="12" t="s">
        <v>611</v>
      </c>
      <c r="G137" s="13" t="s">
        <v>612</v>
      </c>
      <c r="H137" s="12" t="s">
        <v>613</v>
      </c>
      <c r="I137" s="13" t="s">
        <v>614</v>
      </c>
      <c r="J137" s="19"/>
      <c r="K137" s="20">
        <v>1</v>
      </c>
      <c r="L137" s="12"/>
    </row>
    <row r="138" ht="24.75" spans="1:12">
      <c r="A138" s="2"/>
      <c r="B138" s="7">
        <f t="shared" si="0"/>
        <v>136</v>
      </c>
      <c r="C138" s="8" t="s">
        <v>608</v>
      </c>
      <c r="D138" s="9" t="s">
        <v>615</v>
      </c>
      <c r="E138" s="10" t="s">
        <v>616</v>
      </c>
      <c r="F138" s="9" t="s">
        <v>617</v>
      </c>
      <c r="G138" s="10" t="s">
        <v>618</v>
      </c>
      <c r="H138" s="9" t="s">
        <v>619</v>
      </c>
      <c r="I138" s="10" t="s">
        <v>620</v>
      </c>
      <c r="J138" s="17"/>
      <c r="K138" s="18">
        <v>1</v>
      </c>
      <c r="L138" s="9"/>
    </row>
    <row r="139" ht="15.75" spans="1:12">
      <c r="A139" s="2"/>
      <c r="B139" s="7">
        <f t="shared" si="0"/>
        <v>137</v>
      </c>
      <c r="C139" s="11" t="s">
        <v>608</v>
      </c>
      <c r="D139" s="12" t="s">
        <v>621</v>
      </c>
      <c r="E139" s="13" t="s">
        <v>622</v>
      </c>
      <c r="F139" s="12" t="s">
        <v>623</v>
      </c>
      <c r="G139" s="13" t="s">
        <v>623</v>
      </c>
      <c r="H139" s="12" t="s">
        <v>624</v>
      </c>
      <c r="I139" s="13" t="s">
        <v>625</v>
      </c>
      <c r="J139" s="19"/>
      <c r="K139" s="20">
        <v>1</v>
      </c>
      <c r="L139" s="12"/>
    </row>
    <row r="140" ht="24.75" spans="1:12">
      <c r="A140" s="2"/>
      <c r="B140" s="7">
        <f t="shared" si="0"/>
        <v>138</v>
      </c>
      <c r="C140" s="8" t="s">
        <v>608</v>
      </c>
      <c r="D140" s="9" t="s">
        <v>626</v>
      </c>
      <c r="E140" s="10" t="s">
        <v>627</v>
      </c>
      <c r="F140" s="9" t="s">
        <v>628</v>
      </c>
      <c r="G140" s="10" t="s">
        <v>629</v>
      </c>
      <c r="H140" s="9" t="s">
        <v>619</v>
      </c>
      <c r="I140" s="10" t="s">
        <v>630</v>
      </c>
      <c r="J140" s="25"/>
      <c r="K140" s="18">
        <v>1</v>
      </c>
      <c r="L140" s="9"/>
    </row>
    <row r="141" spans="1:12">
      <c r="A141" s="2"/>
      <c r="B141" s="7">
        <f t="shared" si="0"/>
        <v>139</v>
      </c>
      <c r="C141" s="11" t="s">
        <v>608</v>
      </c>
      <c r="D141" s="12" t="s">
        <v>631</v>
      </c>
      <c r="E141" s="13" t="s">
        <v>632</v>
      </c>
      <c r="F141" s="12" t="s">
        <v>633</v>
      </c>
      <c r="G141" s="13" t="s">
        <v>634</v>
      </c>
      <c r="H141" s="12" t="s">
        <v>37</v>
      </c>
      <c r="I141" s="13" t="s">
        <v>635</v>
      </c>
      <c r="J141" s="19"/>
      <c r="K141" s="20">
        <v>1</v>
      </c>
      <c r="L141" s="12"/>
    </row>
    <row r="142" ht="48.75" spans="2:12">
      <c r="B142" s="7">
        <f t="shared" si="0"/>
        <v>140</v>
      </c>
      <c r="C142" s="11" t="s">
        <v>636</v>
      </c>
      <c r="D142" s="12" t="s">
        <v>637</v>
      </c>
      <c r="E142" s="13" t="s">
        <v>638</v>
      </c>
      <c r="F142" s="12" t="s">
        <v>637</v>
      </c>
      <c r="G142" s="13" t="s">
        <v>639</v>
      </c>
      <c r="H142" s="12" t="s">
        <v>637</v>
      </c>
      <c r="I142" s="13" t="s">
        <v>640</v>
      </c>
      <c r="J142" s="26" t="s">
        <v>641</v>
      </c>
      <c r="K142" s="20">
        <v>1</v>
      </c>
      <c r="L142" s="12"/>
    </row>
    <row r="143" spans="2:12">
      <c r="B143" s="7">
        <f t="shared" si="0"/>
        <v>141</v>
      </c>
      <c r="C143" s="11" t="s">
        <v>636</v>
      </c>
      <c r="D143" s="12" t="s">
        <v>637</v>
      </c>
      <c r="E143" s="13" t="s">
        <v>642</v>
      </c>
      <c r="F143" s="12" t="s">
        <v>637</v>
      </c>
      <c r="G143" s="13" t="s">
        <v>643</v>
      </c>
      <c r="H143" s="12" t="s">
        <v>637</v>
      </c>
      <c r="I143" s="13" t="s">
        <v>637</v>
      </c>
      <c r="J143" s="9"/>
      <c r="K143" s="20">
        <v>1</v>
      </c>
      <c r="L143" s="12"/>
    </row>
    <row r="144" spans="2:12">
      <c r="B144" s="7">
        <f t="shared" ref="B144" si="1">ROW(B144)-ROW($B$2)</f>
        <v>142</v>
      </c>
      <c r="C144" s="11" t="s">
        <v>636</v>
      </c>
      <c r="D144" s="12" t="s">
        <v>637</v>
      </c>
      <c r="E144" s="13" t="s">
        <v>642</v>
      </c>
      <c r="F144" s="12" t="s">
        <v>637</v>
      </c>
      <c r="G144" s="13" t="s">
        <v>644</v>
      </c>
      <c r="H144" s="12" t="s">
        <v>637</v>
      </c>
      <c r="I144" s="13" t="s">
        <v>637</v>
      </c>
      <c r="J144" s="27" t="s">
        <v>641</v>
      </c>
      <c r="K144" s="20">
        <v>1</v>
      </c>
      <c r="L144" s="12"/>
    </row>
  </sheetData>
  <mergeCells count="1">
    <mergeCell ref="I1:L1"/>
  </mergeCells>
  <hyperlinks>
    <hyperlink ref="J142" r:id="rId1" display="Aliexpress"/>
    <hyperlink ref="J144" r:id="rId2" display="Aliexpress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2019-12-12T10:34:00Z</dcterms:created>
  <dcterms:modified xsi:type="dcterms:W3CDTF">2024-02-14T12:38:23Z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4F5875A75A4C41BA831083083033E578_12</vt:lpwstr>
  </property>
  <property fmtid="{D5CDD505-2E9C-101B-9397-08002B2CF9AE}" pid="3" name="KSOProductBuildVer">
    <vt:lpwstr>2057-12.2.0.13431</vt:lpwstr>
  </property>
</Properties>
</file>