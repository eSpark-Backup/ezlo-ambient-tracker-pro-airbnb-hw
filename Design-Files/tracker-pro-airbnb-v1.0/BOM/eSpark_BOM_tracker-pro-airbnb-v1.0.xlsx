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0\BOM\"/>
    </mc:Choice>
  </mc:AlternateContent>
  <bookViews>
    <workbookView xWindow="28680" yWindow="-120" windowWidth="29040" windowHeight="1584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124" i="2" l="1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1" i="2"/>
  <c r="Q60" i="2"/>
  <c r="Q59" i="2"/>
  <c r="Q58" i="2"/>
  <c r="Q57" i="2"/>
  <c r="Q56" i="2"/>
  <c r="Q55" i="2"/>
  <c r="Q5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0" i="2"/>
  <c r="Q12" i="2"/>
  <c r="Q11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0" i="2"/>
  <c r="B12" i="2"/>
  <c r="B11" i="2"/>
  <c r="Q127" i="2" l="1"/>
  <c r="Q128" i="2" s="1"/>
  <c r="Q124" i="1"/>
  <c r="M126" i="1"/>
  <c r="M125" i="1"/>
  <c r="M124" i="1"/>
  <c r="B124" i="1"/>
  <c r="B125" i="1"/>
  <c r="B126" i="1"/>
  <c r="M11" i="2" l="1"/>
  <c r="M12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Q102" i="1" l="1"/>
  <c r="M102" i="1"/>
  <c r="B102" i="1"/>
  <c r="Q46" i="1"/>
  <c r="M46" i="1"/>
  <c r="B46" i="1"/>
  <c r="Q123" i="1" l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M62" i="1"/>
  <c r="B62" i="1"/>
  <c r="Q101" i="1"/>
  <c r="M101" i="1"/>
  <c r="B101" i="1"/>
  <c r="Q100" i="1"/>
  <c r="M100" i="1"/>
  <c r="B100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72" i="1"/>
  <c r="M72" i="1"/>
  <c r="B72" i="1"/>
  <c r="Q84" i="1"/>
  <c r="M84" i="1"/>
  <c r="B84" i="1"/>
  <c r="Q85" i="1"/>
  <c r="M85" i="1"/>
  <c r="B85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Q77" i="1"/>
  <c r="M77" i="1"/>
  <c r="B77" i="1"/>
  <c r="Q76" i="1"/>
  <c r="M76" i="1"/>
  <c r="B76" i="1"/>
  <c r="Q75" i="1"/>
  <c r="M75" i="1"/>
  <c r="B75" i="1"/>
  <c r="Q71" i="1"/>
  <c r="M71" i="1"/>
  <c r="B71" i="1"/>
  <c r="Q74" i="1"/>
  <c r="M74" i="1"/>
  <c r="B74" i="1"/>
  <c r="Q73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22" i="1"/>
  <c r="M22" i="1"/>
  <c r="B22" i="1"/>
  <c r="Q15" i="1"/>
  <c r="M15" i="1"/>
  <c r="B15" i="1"/>
  <c r="Q14" i="1"/>
  <c r="M14" i="1"/>
  <c r="B14" i="1"/>
  <c r="Q13" i="1"/>
  <c r="M13" i="1"/>
  <c r="B13" i="1"/>
  <c r="Q10" i="1"/>
  <c r="M10" i="1"/>
  <c r="B10" i="1"/>
  <c r="Q12" i="1"/>
  <c r="M12" i="1"/>
  <c r="B12" i="1"/>
  <c r="Q11" i="1" l="1"/>
  <c r="Q127" i="1" s="1"/>
  <c r="M11" i="1"/>
  <c r="B11" i="1"/>
  <c r="Q128" i="1" l="1"/>
</calcChain>
</file>

<file path=xl/sharedStrings.xml><?xml version="1.0" encoding="utf-8"?>
<sst xmlns="http://schemas.openxmlformats.org/spreadsheetml/2006/main" count="2287" uniqueCount="659">
  <si>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</si>
  <si>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</si>
  <si>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</si>
  <si>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</si>
  <si>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</si>
  <si>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</si>
  <si>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</si>
  <si>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</si>
  <si>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</si>
  <si>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</si>
  <si>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</si>
  <si>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</si>
  <si>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</si>
  <si>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</si>
  <si>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Wire To Wire Connector</t>
  </si>
  <si>
    <t>FPC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</si>
  <si>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</si>
  <si>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</si>
  <si>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</si>
  <si>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</si>
  <si>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</si>
  <si>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</si>
  <si>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</si>
  <si>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Right Angle JST</t>
  </si>
  <si>
    <t>Inductor</t>
  </si>
  <si>
    <t>LED</t>
  </si>
  <si>
    <t>Mosfet</t>
  </si>
  <si>
    <t>Resistor</t>
  </si>
  <si>
    <t>Resistor Array</t>
  </si>
  <si>
    <t>Solder Bridge</t>
  </si>
  <si>
    <t>Switch</t>
  </si>
  <si>
    <t>IC</t>
  </si>
  <si>
    <t>Gas Sensor</t>
  </si>
  <si>
    <t>(CO) Sensor</t>
  </si>
  <si>
    <t>Temperature Sensor</t>
  </si>
  <si>
    <t>Module</t>
  </si>
  <si>
    <t>TVS Diode</t>
  </si>
  <si>
    <t>Crystal</t>
  </si>
  <si>
    <t>Designator</t>
  </si>
  <si>
    <t>C2</t>
  </si>
  <si>
    <t>C19</t>
  </si>
  <si>
    <t>C21, C22</t>
  </si>
  <si>
    <t>C23</t>
  </si>
  <si>
    <t>C38</t>
  </si>
  <si>
    <t>C39, C68, C76</t>
  </si>
  <si>
    <t>C40, C46</t>
  </si>
  <si>
    <t>C41, C44</t>
  </si>
  <si>
    <t>C43</t>
  </si>
  <si>
    <t>C52</t>
  </si>
  <si>
    <t>C58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</si>
  <si>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</si>
  <si>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</si>
  <si>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</si>
  <si>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</si>
  <si>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</si>
  <si>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</si>
  <si>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</si>
  <si>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</si>
  <si>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</si>
  <si>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</si>
  <si>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D1</t>
  </si>
  <si>
    <t>D2</t>
  </si>
  <si>
    <t>D3, D8</t>
  </si>
  <si>
    <t>D4</t>
  </si>
  <si>
    <t>D5</t>
  </si>
  <si>
    <t>D6</t>
  </si>
  <si>
    <t>D7</t>
  </si>
  <si>
    <t>FB1, FB3, FB4, FB7, FB8</t>
  </si>
  <si>
    <t>FB2, FB5, FB6</t>
  </si>
  <si>
    <t>FB9, FB10</t>
  </si>
  <si>
    <t>J1</t>
  </si>
  <si>
    <t>J3</t>
  </si>
  <si>
    <t>J4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</si>
  <si>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</si>
  <si>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</si>
  <si>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</si>
  <si>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</si>
  <si>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</si>
  <si>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</si>
  <si>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</si>
  <si>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</si>
  <si>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</si>
  <si>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</si>
  <si>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LED1</t>
  </si>
  <si>
    <t>LED2, LED3</t>
  </si>
  <si>
    <t>LED4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</si>
  <si>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</si>
  <si>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</si>
  <si>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</si>
  <si>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</si>
  <si>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</si>
  <si>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</si>
  <si>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</si>
  <si>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</si>
  <si>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</si>
  <si>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</si>
  <si>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</si>
  <si>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</si>
  <si>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</si>
  <si>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</si>
  <si>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</si>
  <si>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</si>
  <si>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</si>
  <si>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</si>
  <si>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</si>
  <si>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</si>
  <si>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</si>
  <si>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</si>
  <si>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</si>
  <si>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</si>
  <si>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</si>
  <si>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</si>
  <si>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</si>
  <si>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</si>
  <si>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</si>
  <si>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</si>
  <si>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</si>
  <si>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</si>
  <si>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RN1, RN2, RN3</t>
  </si>
  <si>
    <t>SW1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</si>
  <si>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</si>
  <si>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</si>
  <si>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</si>
  <si>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</si>
  <si>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</si>
  <si>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</si>
  <si>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</si>
  <si>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</si>
  <si>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</si>
  <si>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</si>
  <si>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</t>
  </si>
  <si>
    <t>U12</t>
  </si>
  <si>
    <t>U13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</si>
  <si>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</si>
  <si>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</si>
  <si>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</si>
  <si>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</si>
  <si>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</si>
  <si>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</si>
  <si>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</si>
  <si>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</si>
  <si>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</si>
  <si>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Description</t>
  </si>
  <si>
    <t>CAP CER 4700PF 1KV X7R 1206</t>
  </si>
  <si>
    <t>CAP CER 0.1UF 50V X5R 0402</t>
  </si>
  <si>
    <t>CAP CER 10UF 10V X5R 0402</t>
  </si>
  <si>
    <t>CAP TANT 100UF 20% 10V 1411</t>
  </si>
  <si>
    <t>25V 22uF X5R ±20% 0805 Multilayer Ceramic Capacitors MLCC - SMD/SMT ROHS</t>
  </si>
  <si>
    <t>CAP CER 1UF 10V X5R 0402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</si>
  <si>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</si>
  <si>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</si>
  <si>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</si>
  <si>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</si>
  <si>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</si>
  <si>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</si>
  <si>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</si>
  <si>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</si>
  <si>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</si>
  <si>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</si>
  <si>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</si>
  <si>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CAP CER 22UF 25V X5R 0805</t>
  </si>
  <si>
    <t>CAP CER 10UF 16V X5R 0603</t>
  </si>
  <si>
    <t>CAP CER 12PF 50V C0G/NPO 0603</t>
  </si>
  <si>
    <t>CAP CER 4.7UF 10V X5R 0603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</si>
  <si>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</si>
  <si>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</si>
  <si>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</si>
  <si>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</si>
  <si>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</si>
  <si>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</si>
  <si>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</si>
  <si>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</si>
  <si>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</si>
  <si>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</si>
  <si>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</si>
  <si>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CONN HEADER SMD R/A 7POS 1.25MM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</si>
  <si>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</si>
  <si>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</si>
  <si>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</si>
  <si>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</si>
  <si>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</si>
  <si>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</si>
  <si>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</si>
  <si>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1x2P 1 2mm Male pin 2 -25℃~+85℃ 2A Surface Mount SMD,P=2mm Wire To Board / Wire To Wire Connector ROHS</t>
  </si>
  <si>
    <t>FIXED IND 10UH 1A 540 MOHM SMD</t>
  </si>
  <si>
    <t>22uH ±20% SMD Power Inductors ROHS</t>
  </si>
  <si>
    <t>3A 33uH ±20% 64.8mΩ SMD,12.3x12.3mm Inductors (SMD) ROHS</t>
  </si>
  <si>
    <t>Emerald 0603 Light Emitting Diodes (LED) ROHS</t>
  </si>
  <si>
    <t>RED LED 0603 Light Emitting Diodes</t>
  </si>
  <si>
    <t>LED GREEN CLEAR CHIP SMD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</si>
  <si>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</si>
  <si>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</si>
  <si>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</si>
  <si>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</si>
  <si>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</si>
  <si>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</si>
  <si>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</si>
  <si>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1.2K OHM 1% 1/16W 0402</t>
  </si>
  <si>
    <t>RES 3.3K OHM 1% 1/16W 0402</t>
  </si>
  <si>
    <t>RES 10K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</si>
  <si>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</si>
  <si>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</si>
  <si>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</si>
  <si>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</si>
  <si>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</si>
  <si>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</si>
  <si>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</si>
  <si>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</si>
  <si>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</si>
  <si>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</si>
  <si>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SMD 1K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</si>
  <si>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</si>
  <si>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</si>
  <si>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</si>
  <si>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</si>
  <si>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</si>
  <si>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</si>
  <si>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</si>
  <si>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</si>
  <si>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</si>
  <si>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</si>
  <si>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</si>
  <si>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</si>
  <si>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ARRAY 4 RES 10K OHM 1206</t>
  </si>
  <si>
    <t>Solder Bridge ON</t>
  </si>
  <si>
    <t>Test Point ON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</si>
  <si>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</si>
  <si>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</si>
  <si>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</si>
  <si>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</si>
  <si>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</si>
  <si>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</si>
  <si>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Digital Metal-Oxide Multi-Gas Sensor</t>
  </si>
  <si>
    <t>CO/NO2/NH3 Triple Gas Sensor Metaloxide Gas Detection Sensor SMD T/R</t>
  </si>
  <si>
    <t>SENSOR RH PRESSURE TEMP VOC</t>
  </si>
  <si>
    <t>IC TRANSLATOR BIDIR 20TSSOP</t>
  </si>
  <si>
    <t>IC REG LINEAR 3.3V 200MA 6DFN</t>
  </si>
  <si>
    <t>IC MCU 32BIT 256KB FLASH 64LQFP</t>
  </si>
  <si>
    <t>SMD MODULE, ESP32-S3R8 WITH 3.3V</t>
  </si>
  <si>
    <t>IC ADC 12BIT SIGMA-DELTA 10VSSOP</t>
  </si>
  <si>
    <t>TVS DIODE 5.5VWM 8.5VC SOT23-5</t>
  </si>
  <si>
    <t>Step-down type SOIC-8-EP DC-DC Converters ROHS</t>
  </si>
  <si>
    <t>SPI LQFP-48(7x7) Ethernet ICs ROHS</t>
  </si>
  <si>
    <t>8MHz 20pF ±10ppm ±50ppm SMD5032-2P Crystals ROHS</t>
  </si>
  <si>
    <t>CRYSTAL 25.0000MHZ 12PF SMD</t>
  </si>
  <si>
    <t>Footprint</t>
  </si>
  <si>
    <t>Cap-0603</t>
  </si>
  <si>
    <t>Cap-1206</t>
  </si>
  <si>
    <t>Cap-0402</t>
  </si>
  <si>
    <t>Case-B</t>
  </si>
  <si>
    <t>Cap-0805</t>
  </si>
  <si>
    <t>CAP 0201</t>
  </si>
  <si>
    <t>Case-A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</si>
  <si>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</si>
  <si>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</si>
  <si>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</si>
  <si>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</si>
  <si>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</si>
  <si>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</si>
  <si>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</si>
  <si>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</si>
  <si>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</si>
  <si>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53261-0771</t>
  </si>
  <si>
    <t>53261-0871</t>
  </si>
  <si>
    <t>S5B-ZR-SM4A-TF(LF)(SN)</t>
  </si>
  <si>
    <t>HDR1X4 Female</t>
  </si>
  <si>
    <t>HDR1X3_</t>
  </si>
  <si>
    <t>Pogo 4 Pin</t>
  </si>
  <si>
    <t>HR861153C</t>
  </si>
  <si>
    <t>WAFER-PH2.0-2PWB</t>
  </si>
  <si>
    <t>IND-1008 (2520 Metric)</t>
  </si>
  <si>
    <t>SMRH74-220MT</t>
  </si>
  <si>
    <t>CYH127-33UH</t>
  </si>
  <si>
    <t>LED-0603</t>
  </si>
  <si>
    <t>LED-0402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</si>
  <si>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</si>
  <si>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</si>
  <si>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</si>
  <si>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</si>
  <si>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</si>
  <si>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</si>
  <si>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</si>
  <si>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TEST POINT</t>
  </si>
  <si>
    <t>SOT-25-5</t>
  </si>
  <si>
    <t>SOT-89-3</t>
  </si>
  <si>
    <t>ESOP-8</t>
  </si>
  <si>
    <t>SOT-583</t>
  </si>
  <si>
    <t>SOT-23-6</t>
  </si>
  <si>
    <t>ENS160-BGLT</t>
  </si>
  <si>
    <t>MICS-6814</t>
  </si>
  <si>
    <t>BME680</t>
  </si>
  <si>
    <t>TSSOP-20</t>
  </si>
  <si>
    <t>6-DFN (1.2x1.3)</t>
  </si>
  <si>
    <t>64-LQFP (10x10)</t>
  </si>
  <si>
    <t>41-SMD Module</t>
  </si>
  <si>
    <t>VSSOP-10</t>
  </si>
  <si>
    <t>SOT-23-5</t>
  </si>
  <si>
    <t>8-SOIC-EP</t>
  </si>
  <si>
    <t>48-LQFP (7x7)_</t>
  </si>
  <si>
    <t>SMD5032-2P</t>
  </si>
  <si>
    <t>Q22FA12800090</t>
  </si>
  <si>
    <t>Manufacturer Part Number</t>
  </si>
  <si>
    <t>CC1206KKX7RCBB472</t>
  </si>
  <si>
    <t>C1005X5R1H104K050BB</t>
  </si>
  <si>
    <t>CC0402MRX5R6BB106</t>
  </si>
  <si>
    <t>TAJB107M010RNJ</t>
  </si>
  <si>
    <t>CS2012X5R226M250NRE</t>
  </si>
  <si>
    <t>CC0402KRX5R6BB105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</si>
  <si>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</si>
  <si>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</si>
  <si>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</si>
  <si>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</si>
  <si>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</si>
  <si>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</si>
  <si>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</si>
  <si>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</si>
  <si>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</si>
  <si>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</si>
  <si>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</si>
  <si>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</si>
  <si>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</si>
  <si>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CC0603KRX5R6BB475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</si>
  <si>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</si>
  <si>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</si>
  <si>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</si>
  <si>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</si>
  <si>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</si>
  <si>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</si>
  <si>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</si>
  <si>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</si>
  <si>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</si>
  <si>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</si>
  <si>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</si>
  <si>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</si>
  <si>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</si>
  <si>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</si>
  <si>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</si>
  <si>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</si>
  <si>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</si>
  <si>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</si>
  <si>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</si>
  <si>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</si>
  <si>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</si>
  <si>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</si>
  <si>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</si>
  <si>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</si>
  <si>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</si>
  <si>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RC0402FR-071K2L</t>
  </si>
  <si>
    <t>RC0402FR-073K3L</t>
  </si>
  <si>
    <t>RC0402FR-0710KL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</si>
  <si>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</si>
  <si>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</si>
  <si>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</si>
  <si>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</si>
  <si>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</si>
  <si>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</si>
  <si>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</si>
  <si>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</si>
  <si>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</si>
  <si>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</si>
  <si>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RC0603FR-071KL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</si>
  <si>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</si>
  <si>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</si>
  <si>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</si>
  <si>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</si>
  <si>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</si>
  <si>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</si>
  <si>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</si>
  <si>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</si>
  <si>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</si>
  <si>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</si>
  <si>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</si>
  <si>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</si>
  <si>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XC6228D332VR-G</t>
  </si>
  <si>
    <t>XC6228D182VR-G</t>
  </si>
  <si>
    <t>LD1117AG-33-AB3-A-R</t>
  </si>
  <si>
    <t>TP4056-42-ESOP8</t>
  </si>
  <si>
    <t>TPS2116DRLR</t>
  </si>
  <si>
    <t>MT3608</t>
  </si>
  <si>
    <t>TXS0108EPWR</t>
  </si>
  <si>
    <t>LDK120PU33R</t>
  </si>
  <si>
    <t>STM32F446RCT6</t>
  </si>
  <si>
    <t>ESP32-S3-WROOM-1-N16R8</t>
  </si>
  <si>
    <t>ADS1015IDGSR</t>
  </si>
  <si>
    <t>SP0504BAHTG</t>
  </si>
  <si>
    <t>TX4138</t>
  </si>
  <si>
    <t>W5500</t>
  </si>
  <si>
    <t>X50328MSB2GI</t>
  </si>
  <si>
    <t>Manufacturer</t>
  </si>
  <si>
    <t>Yageo</t>
  </si>
  <si>
    <t>TDK</t>
  </si>
  <si>
    <t>Kyocera AVX</t>
  </si>
  <si>
    <t>Samwha</t>
  </si>
  <si>
    <t>CEC(Shenzhen Zhenhua XinYun Elec)</t>
  </si>
  <si>
    <t>FH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</si>
  <si>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</si>
  <si>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</si>
  <si>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</si>
  <si>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</si>
  <si>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</si>
  <si>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</si>
  <si>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</si>
  <si>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</si>
  <si>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Molex</t>
  </si>
  <si>
    <t>JUSHUO</t>
  </si>
  <si>
    <t>JST</t>
  </si>
  <si>
    <t>BOOMELE</t>
  </si>
  <si>
    <t>Wurth Electronics</t>
  </si>
  <si>
    <t>Hanrun</t>
  </si>
  <si>
    <t>XUNPU</t>
  </si>
  <si>
    <t>SXN(Shun Xiang Nuo Elec)</t>
  </si>
  <si>
    <t>SHOU HAN</t>
  </si>
  <si>
    <t>Foshan NationStar Optoelectronics</t>
  </si>
  <si>
    <t>SunLED</t>
  </si>
  <si>
    <t>TECH PUBLIC</t>
  </si>
  <si>
    <t>LRC</t>
  </si>
  <si>
    <t>Vishay Dale</t>
  </si>
  <si>
    <t>YAGEO</t>
  </si>
  <si>
    <t>Torex Semicon</t>
  </si>
  <si>
    <t>UTC</t>
  </si>
  <si>
    <t>TOPPOWER</t>
  </si>
  <si>
    <t>Texas Instruments</t>
  </si>
  <si>
    <t>XI'AN Aerosemi Tech</t>
  </si>
  <si>
    <t>ScioSense</t>
  </si>
  <si>
    <t>Amphenol</t>
  </si>
  <si>
    <t>Bosch Sensortec</t>
  </si>
  <si>
    <t>STMicroelectronics</t>
  </si>
  <si>
    <t>Espressif Systems</t>
  </si>
  <si>
    <t>XDS</t>
  </si>
  <si>
    <t>WIZNET</t>
  </si>
  <si>
    <t>Yangxing Tech</t>
  </si>
  <si>
    <t>Seiko Epson</t>
  </si>
  <si>
    <t>LCSC Part Number</t>
  </si>
  <si>
    <t>C107198</t>
  </si>
  <si>
    <t>C2181865</t>
  </si>
  <si>
    <t>C962143</t>
  </si>
  <si>
    <t>C7196</t>
  </si>
  <si>
    <t>C513764</t>
  </si>
  <si>
    <t>C106254</t>
  </si>
  <si>
    <t>C107037</t>
  </si>
  <si>
    <t>C389113</t>
  </si>
  <si>
    <t>C105621</t>
  </si>
  <si>
    <t>C128253</t>
  </si>
  <si>
    <t>C326581</t>
  </si>
  <si>
    <t>C109447</t>
  </si>
  <si>
    <t>C23631</t>
  </si>
  <si>
    <t>C113803</t>
  </si>
  <si>
    <t>C106222</t>
  </si>
  <si>
    <t>C1631</t>
  </si>
  <si>
    <t>C784585</t>
  </si>
  <si>
    <t>C2936601</t>
  </si>
  <si>
    <t>C107034</t>
  </si>
  <si>
    <t>C109456</t>
  </si>
  <si>
    <t>C3029025</t>
  </si>
  <si>
    <t>C5366303</t>
  </si>
  <si>
    <t>C8678</t>
  </si>
  <si>
    <t>C239643</t>
  </si>
  <si>
    <t>C698958</t>
  </si>
  <si>
    <t>C3011128</t>
  </si>
  <si>
    <t>C2757931</t>
  </si>
  <si>
    <t>C76891</t>
  </si>
  <si>
    <t>C113030</t>
  </si>
  <si>
    <t>C139168</t>
  </si>
  <si>
    <t>C165948</t>
  </si>
  <si>
    <t>C505276</t>
  </si>
  <si>
    <t>C485355</t>
  </si>
  <si>
    <t>C3029440</t>
  </si>
  <si>
    <t>C88532</t>
  </si>
  <si>
    <t>C27442</t>
  </si>
  <si>
    <t>C2929502</t>
  </si>
  <si>
    <t>C87326</t>
  </si>
  <si>
    <t>C3151730</t>
  </si>
  <si>
    <t>C5182044</t>
  </si>
  <si>
    <t>C2923360</t>
  </si>
  <si>
    <t>C213159</t>
  </si>
  <si>
    <t>C5310968</t>
  </si>
  <si>
    <t>C12775</t>
  </si>
  <si>
    <t>C105578</t>
  </si>
  <si>
    <t>C137973</t>
  </si>
  <si>
    <t>C138040</t>
  </si>
  <si>
    <t>C60490</t>
  </si>
  <si>
    <t>C861589</t>
  </si>
  <si>
    <t>C136961</t>
  </si>
  <si>
    <t>C114638</t>
  </si>
  <si>
    <t>C100044</t>
  </si>
  <si>
    <t>C137753</t>
  </si>
  <si>
    <t>C141677</t>
  </si>
  <si>
    <t>C114661</t>
  </si>
  <si>
    <t>C105588</t>
  </si>
  <si>
    <t>C98220</t>
  </si>
  <si>
    <t>C99782</t>
  </si>
  <si>
    <t>C22548</t>
  </si>
  <si>
    <t>C123419</t>
  </si>
  <si>
    <t>C227930</t>
  </si>
  <si>
    <t>C105879</t>
  </si>
  <si>
    <t>C109318</t>
  </si>
  <si>
    <t>C114625</t>
  </si>
  <si>
    <t>C858599</t>
  </si>
  <si>
    <t>C137705</t>
  </si>
  <si>
    <t>C108661</t>
  </si>
  <si>
    <t>C861824</t>
  </si>
  <si>
    <t>C849817</t>
  </si>
  <si>
    <t>C137798</t>
  </si>
  <si>
    <t>C110924</t>
  </si>
  <si>
    <t>C69841</t>
  </si>
  <si>
    <t>C216644</t>
  </si>
  <si>
    <t>C81768</t>
  </si>
  <si>
    <t>C16581</t>
  </si>
  <si>
    <t>C84817</t>
  </si>
  <si>
    <t>C125972</t>
  </si>
  <si>
    <t>C17206</t>
  </si>
  <si>
    <t>C2971162</t>
  </si>
  <si>
    <t>C915971</t>
  </si>
  <si>
    <t>C2913202</t>
  </si>
  <si>
    <t>C193969</t>
  </si>
  <si>
    <t>C10675</t>
  </si>
  <si>
    <t>C329267</t>
  </si>
  <si>
    <t>C32843</t>
  </si>
  <si>
    <t>C115962</t>
  </si>
  <si>
    <t>C255883</t>
  </si>
  <si>
    <t>10uF</t>
  </si>
  <si>
    <t>4.7nF</t>
  </si>
  <si>
    <t>0.1uF</t>
  </si>
  <si>
    <t>100uF</t>
  </si>
  <si>
    <t>22uF</t>
  </si>
  <si>
    <t>1uF</t>
  </si>
  <si>
    <t>15pF</t>
  </si>
  <si>
    <t>10nF</t>
  </si>
  <si>
    <t>10pF</t>
  </si>
  <si>
    <t>20pF</t>
  </si>
  <si>
    <t>2.2uF</t>
  </si>
  <si>
    <t>1000pF</t>
  </si>
  <si>
    <t>22nF</t>
  </si>
  <si>
    <t>6.8nF</t>
  </si>
  <si>
    <t>15uF</t>
  </si>
  <si>
    <t>12pF</t>
  </si>
  <si>
    <t>4.7uF</t>
  </si>
  <si>
    <t>DNP</t>
  </si>
  <si>
    <t>10uH</t>
  </si>
  <si>
    <t>22uH</t>
  </si>
  <si>
    <t>33uH</t>
  </si>
  <si>
    <t>1M</t>
  </si>
  <si>
    <t>5.1K</t>
  </si>
  <si>
    <t>1K</t>
  </si>
  <si>
    <t>1.2K</t>
  </si>
  <si>
    <t>3.3K</t>
  </si>
  <si>
    <t>10K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</si>
  <si>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</si>
  <si>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</si>
  <si>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</si>
  <si>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</si>
  <si>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</si>
  <si>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</si>
  <si>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</si>
  <si>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</si>
  <si>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</si>
  <si>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</si>
  <si>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</si>
  <si>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</si>
  <si>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</si>
  <si>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</si>
  <si>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</si>
  <si>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</si>
  <si>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</si>
  <si>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</si>
  <si>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</si>
  <si>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</si>
  <si>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</si>
  <si>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8MHz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</si>
  <si>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</si>
  <si>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</si>
  <si>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</si>
  <si>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</si>
  <si>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</si>
  <si>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</si>
  <si>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</si>
  <si>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</si>
  <si>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</si>
  <si>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</si>
  <si>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</si>
  <si>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Bill of Materials for Project [tracker-pro-airbnb-v1.0.]</t>
  </si>
  <si>
    <t>tracker-pro-airbnb-v1.0.</t>
  </si>
  <si>
    <t xml:space="preserve">Custom </t>
  </si>
  <si>
    <t>Quantity (10 Boards)</t>
  </si>
  <si>
    <t>MOQ (10 Boards)</t>
  </si>
  <si>
    <t>Unit Cost (10 Boards)</t>
  </si>
  <si>
    <t>Total Cost (10 Boards)</t>
  </si>
  <si>
    <t>LCSC</t>
  </si>
  <si>
    <t>-</t>
  </si>
  <si>
    <t>CAP TANT 33UF 10% 10V 1411</t>
  </si>
  <si>
    <t>TAJB336K010RNJ</t>
  </si>
  <si>
    <t>C7202</t>
  </si>
  <si>
    <t>33uF</t>
  </si>
  <si>
    <t>CAP TANT 330UF 20% 16V 2917</t>
  </si>
  <si>
    <t>Case-E</t>
  </si>
  <si>
    <t>TAJE337M016RNJ</t>
  </si>
  <si>
    <t>C51599</t>
  </si>
  <si>
    <t>330uF</t>
  </si>
  <si>
    <t>J2</t>
  </si>
  <si>
    <t>Slide Switche</t>
  </si>
  <si>
    <t>SW3</t>
  </si>
  <si>
    <t>Surface Mount 1A SPDT 6V Black 10000次 SMD Slide Switches ROHS</t>
  </si>
  <si>
    <t>MK-11C04-G013</t>
  </si>
  <si>
    <t>G-Switch</t>
  </si>
  <si>
    <t>C778185</t>
  </si>
  <si>
    <t>CC0603JRNPO9BN120</t>
  </si>
  <si>
    <t>DO NOT PLACE</t>
  </si>
  <si>
    <t>C137992</t>
  </si>
  <si>
    <t>F1, F2</t>
  </si>
  <si>
    <t>R5, R6, R10, R39, R43, R57</t>
  </si>
  <si>
    <t>CC0201JRNPO8BN100</t>
  </si>
  <si>
    <t>C541202</t>
  </si>
  <si>
    <t>PZ254V-11-03P</t>
  </si>
  <si>
    <t>C2937625</t>
  </si>
  <si>
    <t>Peripheral</t>
  </si>
  <si>
    <t>Battery</t>
  </si>
  <si>
    <t>ZE08-CH2O</t>
  </si>
  <si>
    <t>PMS5003</t>
  </si>
  <si>
    <t>Sensor</t>
  </si>
  <si>
    <t>Aliexpress</t>
  </si>
  <si>
    <t>0402WGF2492TCE</t>
  </si>
  <si>
    <t>C25874</t>
  </si>
  <si>
    <t>chipsmall</t>
  </si>
  <si>
    <t>IC POE CNTRL 1 CHANNEL 8SOIC</t>
  </si>
  <si>
    <t>TPS2375DR</t>
  </si>
  <si>
    <t>C2867397</t>
  </si>
  <si>
    <t>32.768kHz 7pF ±10ppm SMD3215-2P Crystals ROHS</t>
  </si>
  <si>
    <t>C5830643</t>
  </si>
  <si>
    <t>Shenzhen SCTF Elec</t>
  </si>
  <si>
    <t>DXTF321532768C10F</t>
  </si>
  <si>
    <t>32.768kHz</t>
  </si>
  <si>
    <t>C57</t>
  </si>
  <si>
    <t>VMMC0571J150MV</t>
  </si>
  <si>
    <t>AFC01-S20FCC-00</t>
  </si>
  <si>
    <t>TS-1185EC-C-D-B</t>
  </si>
  <si>
    <t>TP12422673</t>
  </si>
  <si>
    <t>Clamshell 20P Bottom Contact Surface Mount 0.5mm SMD,P=0.5mm FFC/FPC Connectors ROHS</t>
  </si>
  <si>
    <t>C262274</t>
  </si>
  <si>
    <t>15uF 63V ±20% SMD,D6.3xL5.7mm Aluminum Electrolytic Capacitors - SMD ROHS</t>
  </si>
  <si>
    <t>Ymin</t>
  </si>
  <si>
    <t>C487115</t>
  </si>
  <si>
    <t>3mm 2mm Round Button 50mA Top3.65mm SPST 12V SMD Tactile Switches</t>
  </si>
  <si>
    <t>XKB</t>
  </si>
  <si>
    <t>C318893</t>
  </si>
  <si>
    <t>50mA 100MΩ 100000 Times 260gf@±50gf 12V Surface Mount SPST SMD Tactile Switches ROHS</t>
  </si>
  <si>
    <t>ROCPU Switch</t>
  </si>
  <si>
    <t>C5381384</t>
  </si>
  <si>
    <t>SOIC-8</t>
  </si>
  <si>
    <t>100% Original 3.7V 18500 2040mah Lithium Ion Battery for Panasonic NCR18500A 3.6V Battery for Toy Torch Flashlight Ect</t>
  </si>
  <si>
    <t>Custom Supplier Quote required</t>
  </si>
  <si>
    <t>SZYY0402YG</t>
  </si>
  <si>
    <t>C434449</t>
  </si>
  <si>
    <t>C3235557</t>
  </si>
  <si>
    <t>C1, C4, C6, C10, C14, C18, C20, C25, C26, C30, C31, C36</t>
  </si>
  <si>
    <t>C3, C5, C7, C8, C9, C11, C12, C13, C15, C16, C17, C24, C27, C28, C29, C34, C35, C37, C42, C45, C47, C59, C60, C73, C77, C79, C81, C82, C83</t>
  </si>
  <si>
    <t>R4, R8, R11, R12, R13, R23, R24, R25, R27, R30, R31, R36, R41, R42, R44, R55, R56, R68, R69</t>
  </si>
  <si>
    <t>R40</t>
  </si>
  <si>
    <t>P1, P2, P3, P4, P5, P6, P7, P8, P9, P10, P11, P12, P13, P14, P15, P16, P17, P18, P19, P20</t>
  </si>
  <si>
    <t>SB1, SB2, SB3, SB4, SB5, SB6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</si>
</sst>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16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169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MDD-Microdiode-Electronics-SS34_C8678.html" TargetMode="External"/><Relationship Id="rId21" Type="http://schemas.openxmlformats.org/officeDocument/2006/relationships/hyperlink" Target="https://www.lcsc.com/product-detail/Tantalum-Capacitors_Kyocera-AVX-TAJE337M016RNJ_C51599.html" TargetMode="External"/><Relationship Id="rId42" Type="http://schemas.openxmlformats.org/officeDocument/2006/relationships/hyperlink" Target="https://www.lcsc.com/product-detail/Power-Inductors_SXN-Shun-Xiang-Nuo-Elec-SMRH74-220MT_C27442.html" TargetMode="External"/><Relationship Id="rId47" Type="http://schemas.openxmlformats.org/officeDocument/2006/relationships/hyperlink" Target="https://www.lcsc.com/product-detail/MOSFETs_TECH-PUBLIC-SI2323DS_C5182044.html" TargetMode="External"/><Relationship Id="rId63" Type="http://schemas.openxmlformats.org/officeDocument/2006/relationships/hyperlink" Target="https://www.lcsc.com/product-detail/Chip-Resistor-Surface-Mount_YAGEO-RC0603FR-0715KL_C114661.html" TargetMode="External"/><Relationship Id="rId68" Type="http://schemas.openxmlformats.org/officeDocument/2006/relationships/hyperlink" Target="https://www.lcsc.com/product-detail/Chip-Resistor-Surface-Mount_YAGEO-RC0603FR-071KL_C22548.html" TargetMode="External"/><Relationship Id="rId84" Type="http://schemas.openxmlformats.org/officeDocument/2006/relationships/hyperlink" Target="https://www.lcsc.com/product-detail/Linear-Voltage-Regulators-LDO_UTC-Unisonic-Tech-LD1117AG-33-AB3-A-R_C81768.html" TargetMode="External"/><Relationship Id="rId89" Type="http://schemas.openxmlformats.org/officeDocument/2006/relationships/hyperlink" Target="https://www.lcsc.com/product-detail/Linear-Voltage-Regulators-LDO_STMicroelectronics-LDK120PU33R_C2971162.html" TargetMode="External"/><Relationship Id="rId112" Type="http://schemas.openxmlformats.org/officeDocument/2006/relationships/hyperlink" Target="https://vi.aliexpress.com/item/1005004921811549.html" TargetMode="External"/><Relationship Id="rId16" Type="http://schemas.openxmlformats.org/officeDocument/2006/relationships/hyperlink" Target="https://www.lcsc.com/product-detail/Multilayer-Ceramic-Capacitors-MLCC-SMD-SMT_YAGEO-CC0603KRX7R9BB223_C106222.html" TargetMode="External"/><Relationship Id="rId107" Type="http://schemas.openxmlformats.org/officeDocument/2006/relationships/hyperlink" Target="https://www.lcsc.com/product-detail/Tactile-Switches_XKB-Connectivity-TS-1185EC-C-D-B_C318893.html" TargetMode="External"/><Relationship Id="rId11" Type="http://schemas.openxmlformats.org/officeDocument/2006/relationships/hyperlink" Target="https://www.lcsc.com/product-detail/Multilayer-Ceramic-Capacitors-MLCC-SMD-SMT_YAGEO-CC0805KKX5R9BB225_C326581.html" TargetMode="External"/><Relationship Id="rId32" Type="http://schemas.openxmlformats.org/officeDocument/2006/relationships/hyperlink" Target="https://www.lcsc.com/product-detail/Ferrite-Beads_Murata-Electronics-BLM18SG121TN1D_C113030.html" TargetMode="External"/><Relationship Id="rId37" Type="http://schemas.openxmlformats.org/officeDocument/2006/relationships/hyperlink" Target="https://www.lcsc.com/product-detail/Wire-To-Board-Wire-To-Wire-Connector_JST-Sales-America-S5B-ZR-SM4A-TF-LF-SN_C485355.html" TargetMode="External"/><Relationship Id="rId53" Type="http://schemas.openxmlformats.org/officeDocument/2006/relationships/hyperlink" Target="https://www.lcsc.com/product-detail/Chip-Resistor-Surface-Mount_YAGEO-RC0402FR-0747RL_C137973.html" TargetMode="External"/><Relationship Id="rId58" Type="http://schemas.openxmlformats.org/officeDocument/2006/relationships/hyperlink" Target="https://www.lcsc.com/product-detail/Chip-Resistor-Surface-Mount_YAGEO-RT0603BRD0762KL_C136961.html" TargetMode="External"/><Relationship Id="rId74" Type="http://schemas.openxmlformats.org/officeDocument/2006/relationships/hyperlink" Target="https://www.lcsc.com/product-detail/Chip-Resistor-Surface-Mount_YAGEO-PE0805FRF470R03L_C858599.html" TargetMode="External"/><Relationship Id="rId79" Type="http://schemas.openxmlformats.org/officeDocument/2006/relationships/hyperlink" Target="https://www.lcsc.com/product-detail/Chip-Resistor-Surface-Mount_YAGEO-RC0603FR-0712K4L_C137798.html" TargetMode="External"/><Relationship Id="rId102" Type="http://schemas.openxmlformats.org/officeDocument/2006/relationships/hyperlink" Target="https://www.chipsmall.com/Products/MICS-6814_33188182.html" TargetMode="External"/><Relationship Id="rId5" Type="http://schemas.openxmlformats.org/officeDocument/2006/relationships/hyperlink" Target="https://www.lcsc.com/product-detail/Multilayer-Ceramic-Capacitors-MLCC-SMD-SMT_Samwha-Capacitor-CS2012X5R226M250NRE_C513764.html" TargetMode="External"/><Relationship Id="rId90" Type="http://schemas.openxmlformats.org/officeDocument/2006/relationships/hyperlink" Target="https://www.lcsc.com/product-detail/Microcontroller-Units-MCUs-MPUs-SOCs_STMicroelectronics-STM32F446RCT6_C915971.html" TargetMode="External"/><Relationship Id="rId95" Type="http://schemas.openxmlformats.org/officeDocument/2006/relationships/hyperlink" Target="https://www.lcsc.com/product-detail/Ethernet-ICs_WIZNET-W5500_C32843.html" TargetMode="External"/><Relationship Id="rId22" Type="http://schemas.openxmlformats.org/officeDocument/2006/relationships/hyperlink" Target="https://www.lcsc.com/product-detail/Multilayer-Ceramic-Capacitors-MLCC-SMD-SMT_YAGEO-CC0603KRX5R6BB475_C109456.html" TargetMode="External"/><Relationship Id="rId27" Type="http://schemas.openxmlformats.org/officeDocument/2006/relationships/hyperlink" Target="https://www.lcsc.com/product-detail/TVS_WILLSEMI-Will-Semicon-ESD5302F-3-TR_C239643.html" TargetMode="External"/><Relationship Id="rId43" Type="http://schemas.openxmlformats.org/officeDocument/2006/relationships/hyperlink" Target="https://www.lcsc.com/product-detail/Inductors-SMD_SHOU-HAN-CYH127-33UH_C2929502.html" TargetMode="External"/><Relationship Id="rId48" Type="http://schemas.openxmlformats.org/officeDocument/2006/relationships/hyperlink" Target="https://www.lcsc.com/product-detail/Bipolar-Transistors-BJT_TECH-PUBLIC-MMBT3904M_C2923360.html" TargetMode="External"/><Relationship Id="rId64" Type="http://schemas.openxmlformats.org/officeDocument/2006/relationships/hyperlink" Target="https://www.lcsc.com/product-detail/Chip-Resistor-Surface-Mount_YAGEO-RC0603FR-070RL_C100044.html" TargetMode="External"/><Relationship Id="rId69" Type="http://schemas.openxmlformats.org/officeDocument/2006/relationships/hyperlink" Target="https://www.lcsc.com/product-detail/Chip-Resistor-Surface-Mount_YAGEO-RC0603FR-07180KL_C123419.html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Resistor-Networks-Arrays_YAGEO-YC164-FR-0710KL_C110924.html" TargetMode="External"/><Relationship Id="rId85" Type="http://schemas.openxmlformats.org/officeDocument/2006/relationships/hyperlink" Target="https://www.lcsc.com/product-detail/Battery-Management-ICs_TOPPOWER-Nanjing-Extension-Microelectronics-TP4056-42-ESOP8_C16581.html" TargetMode="External"/><Relationship Id="rId12" Type="http://schemas.openxmlformats.org/officeDocument/2006/relationships/hyperlink" Target="https://www.lcsc.com/product-detail/Multilayer-Ceramic-Capacitors-MLCC-SMD-SMT_YAGEO-CC0603MRX5R6BB226_C109447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3" Type="http://schemas.openxmlformats.org/officeDocument/2006/relationships/hyperlink" Target="https://www.lcsc.com/product-detail/Ferrite-Beads_FH-Guangdong-Fenghua-Advanced-Tech-CBM201209U601T_C139168.html" TargetMode="External"/><Relationship Id="rId38" Type="http://schemas.openxmlformats.org/officeDocument/2006/relationships/hyperlink" Target="https://www.lcsc.com/product-detail/Wire-To-Board-Wire-To-Wire-Connector_MOLEX-532610871_C293349.html" TargetMode="External"/><Relationship Id="rId59" Type="http://schemas.openxmlformats.org/officeDocument/2006/relationships/hyperlink" Target="https://www.lcsc.com/product-detail/Chip-Resistor-Surface-Mount_YAGEO-RC0603FR-07820RL_C114638.html" TargetMode="External"/><Relationship Id="rId103" Type="http://schemas.openxmlformats.org/officeDocument/2006/relationships/hyperlink" Target="https://www.chipsmall.com/Products/TPS2116DRLR_33318485.html" TargetMode="External"/><Relationship Id="rId108" Type="http://schemas.openxmlformats.org/officeDocument/2006/relationships/hyperlink" Target="https://www.lcsc.com/product-detail/Tactile-Switches_ROCPU-Switches-TP12422673_C5381384.html" TargetMode="External"/><Relationship Id="rId54" Type="http://schemas.openxmlformats.org/officeDocument/2006/relationships/hyperlink" Target="https://www.lcsc.com/product-detail/Chip-Resistor-Surface-Mount_YAGEO-RC0402FR-071K2L_C138040.html" TargetMode="External"/><Relationship Id="rId70" Type="http://schemas.openxmlformats.org/officeDocument/2006/relationships/hyperlink" Target="https://www.lcsc.com/product-detail/Chip-Resistor-Surface-Mount_YAGEO-AC0603FR-074K42L_C227930.html" TargetMode="External"/><Relationship Id="rId75" Type="http://schemas.openxmlformats.org/officeDocument/2006/relationships/hyperlink" Target="https://www.lcsc.com/product-detail/Chip-Resistor-Surface-Mount_YAGEO-RC0603FR-074R7L_C137705.html" TargetMode="External"/><Relationship Id="rId91" Type="http://schemas.openxmlformats.org/officeDocument/2006/relationships/hyperlink" Target="https://www.lcsc.com/product-detail/WiFi-Modules_Espressif-Systems-ESP32-S3-WROOM-1-N16R8_C2913202.html" TargetMode="External"/><Relationship Id="rId96" Type="http://schemas.openxmlformats.org/officeDocument/2006/relationships/hyperlink" Target="https://www.lcsc.com/product-detail/Crystals_Yangxing-Tech-X50328MSB2GI_C115962.html" TargetMode="External"/><Relationship Id="rId1" Type="http://schemas.openxmlformats.org/officeDocument/2006/relationships/hyperlink" Target="https://www.lcsc.com/product-detail/Multilayer-Ceramic-Capacitors-MLCC-SMD-SMT_YAGEO-CC1206KKX7RCBB472_C107198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Multilayer-Ceramic-Capacitors-MLCC-SMD-SMT_YAGEO-CC0603KRX7R0BB104_C113803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TVS_Yangzhou-Yangjie-Elec-Tech-SMAJ58A_C698958.html" TargetMode="External"/><Relationship Id="rId36" Type="http://schemas.openxmlformats.org/officeDocument/2006/relationships/hyperlink" Target="https://www.lcsc.com/product-detail/Wire-To-Board-Wire-To-Wire-Connector_MOLEX-532610771_C505276.html" TargetMode="External"/><Relationship Id="rId49" Type="http://schemas.openxmlformats.org/officeDocument/2006/relationships/hyperlink" Target="https://www.lcsc.com/product-detail/MOSFETs_WILLSEMI-Will-Semicon-WPM2015-3-TR_C213159.html" TargetMode="External"/><Relationship Id="rId57" Type="http://schemas.openxmlformats.org/officeDocument/2006/relationships/hyperlink" Target="https://www.lcsc.com/product-detail/Chip-Resistor-Surface-Mount_YAGEO-RT0603BRD078K2L_C861589.html" TargetMode="External"/><Relationship Id="rId106" Type="http://schemas.openxmlformats.org/officeDocument/2006/relationships/hyperlink" Target="https://www.lcsc.com/product-detail/Aluminum-Electrolytic-Capacitors-SMD_Ymin-VMMC0571J150MV_C487115.html" TargetMode="External"/><Relationship Id="rId114" Type="http://schemas.openxmlformats.org/officeDocument/2006/relationships/drawing" Target="../drawings/drawing1.xml"/><Relationship Id="rId10" Type="http://schemas.openxmlformats.org/officeDocument/2006/relationships/hyperlink" Target="https://www.lcsc.com/product-detail/Tantalum-Capacitors_CEC-Shenzhen-Zhenhua-XinYun-Elec-CA45-A-10V-10uF-K_C128253.html" TargetMode="External"/><Relationship Id="rId31" Type="http://schemas.openxmlformats.org/officeDocument/2006/relationships/hyperlink" Target="https://www.lcsc.com/product-detail/Ferrite-Beads_Murata-Electronics-BLM15PD121SN1D_C76891.html" TargetMode="External"/><Relationship Id="rId44" Type="http://schemas.openxmlformats.org/officeDocument/2006/relationships/hyperlink" Target="https://www.lcsc.com/product-detail/Light-Emitting-Diodes-LED_Foshan-NationStar-Optoelectronics-NCD0603G2_C87326.html" TargetMode="External"/><Relationship Id="rId52" Type="http://schemas.openxmlformats.org/officeDocument/2006/relationships/hyperlink" Target="https://www.lcsc.com/product-detail/Chip-Resistor-Surface-Mount_YAGEO-RC0603FR-071ML_C105578.html" TargetMode="External"/><Relationship Id="rId60" Type="http://schemas.openxmlformats.org/officeDocument/2006/relationships/hyperlink" Target="https://www.lcsc.com/product-detail/Chip-Resistor-Surface-Mount_YAGEO-RC0603FR-070RL_C100044.html" TargetMode="External"/><Relationship Id="rId65" Type="http://schemas.openxmlformats.org/officeDocument/2006/relationships/hyperlink" Target="https://www.lcsc.com/product-detail/Chip-Resistor-Surface-Mount_YAGEO-RC0603FR-07100RL_C105588.html" TargetMode="External"/><Relationship Id="rId73" Type="http://schemas.openxmlformats.org/officeDocument/2006/relationships/hyperlink" Target="https://www.lcsc.com/product-detail/Chip-Resistor-Surface-Mount_YAGEO-RC0603FR-0749R9L_C114625.html" TargetMode="External"/><Relationship Id="rId78" Type="http://schemas.openxmlformats.org/officeDocument/2006/relationships/hyperlink" Target="https://www.lcsc.com/product-detail/Chip-Resistor-Surface-Mount_YAGEO-RT0603BRE0757K6L_C849817.html" TargetMode="External"/><Relationship Id="rId81" Type="http://schemas.openxmlformats.org/officeDocument/2006/relationships/hyperlink" Target="https://www.lcsc.com/product-detail/Slide-Switches_G-Switch-MK-11C04-G013_C778185.html" TargetMode="External"/><Relationship Id="rId86" Type="http://schemas.openxmlformats.org/officeDocument/2006/relationships/hyperlink" Target="https://www.lcsc.com/product-detail/DC-DC-Converters_XI-AN-Aerosemi-Tech-MT3608_C84817.html" TargetMode="External"/><Relationship Id="rId94" Type="http://schemas.openxmlformats.org/officeDocument/2006/relationships/hyperlink" Target="https://www.lcsc.com/product-detail/DC-DC-Converters_XDS-TX4138_C329267.html" TargetMode="External"/><Relationship Id="rId99" Type="http://schemas.openxmlformats.org/officeDocument/2006/relationships/hyperlink" Target="https://www.lcsc.com/product-detail/span-style-background-color-ff0-Pin-span-Headers_XFCN-PZ254V-11-03P_C2937625.html" TargetMode="External"/><Relationship Id="rId101" Type="http://schemas.openxmlformats.org/officeDocument/2006/relationships/hyperlink" Target="https://www.chipsmall.com/Products/ENS160-BGLT_33188127.html" TargetMode="External"/><Relationship Id="rId4" Type="http://schemas.openxmlformats.org/officeDocument/2006/relationships/hyperlink" Target="https://www.lcsc.com/product-detail/Tantalum-Capacitors_Kyocera-AVX-TAJB107M010RNJ_C7196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YAGEO-CC1206KKX7RDBB102_C23631.html" TargetMode="External"/><Relationship Id="rId18" Type="http://schemas.openxmlformats.org/officeDocument/2006/relationships/hyperlink" Target="https://www.lcsc.com/product-detail/Multilayer-Ceramic-Capacitors-MLCC-SMD-SMT_YAGEO-CC0805MKX5R8BB226_C784585.html" TargetMode="External"/><Relationship Id="rId39" Type="http://schemas.openxmlformats.org/officeDocument/2006/relationships/hyperlink" Target="https://www.lcsc.com/product-detail/Female-Headers_BOOMELE-Boom-Precision-Elec-C2718488_C2718488.html" TargetMode="External"/><Relationship Id="rId109" Type="http://schemas.openxmlformats.org/officeDocument/2006/relationships/hyperlink" Target="https://www.lcsc.com/product-detail/Power-Over-Ethernet-Controllers_Texas-Instruments-TPS2375DR_C2867397.html" TargetMode="External"/><Relationship Id="rId34" Type="http://schemas.openxmlformats.org/officeDocument/2006/relationships/hyperlink" Target="https://www.lcsc.com/product-detail/USB-Connectors_Korean-Hroparts-Elec-TYPE-C-31-M-12_C165948.html" TargetMode="External"/><Relationship Id="rId50" Type="http://schemas.openxmlformats.org/officeDocument/2006/relationships/hyperlink" Target="https://www.lcsc.com/product-detail/MOSFETs_TECH-PUBLIC-SI2302CDS_C5310968.html" TargetMode="External"/><Relationship Id="rId55" Type="http://schemas.openxmlformats.org/officeDocument/2006/relationships/hyperlink" Target="https://www.lcsc.com/product-detail/Chip-Resistor-Surface-Mount_YAGEO-RC0402FR-073K3L_C137992.html" TargetMode="External"/><Relationship Id="rId76" Type="http://schemas.openxmlformats.org/officeDocument/2006/relationships/hyperlink" Target="https://www.lcsc.com/product-detail/Chip-Resistor-Surface-Mount_YAGEO-RC0603FR-0733RL_C108661.html" TargetMode="External"/><Relationship Id="rId97" Type="http://schemas.openxmlformats.org/officeDocument/2006/relationships/hyperlink" Target="https://www.lcsc.com/product-detail/Crystals_Seiko-Epson-Q22FA12800090_C255883.html" TargetMode="External"/><Relationship Id="rId104" Type="http://schemas.openxmlformats.org/officeDocument/2006/relationships/hyperlink" Target="https://www.lcsc.com/product-detail/Crystals_Shenzhen-SCTF-Elec-DXTF321532768C10F_C5830643.html" TargetMode="External"/><Relationship Id="rId7" Type="http://schemas.openxmlformats.org/officeDocument/2006/relationships/hyperlink" Target="https://www.lcsc.com/product-detail/Multilayer-Ceramic-Capacitors-MLCC-SMD-SMT_YAGEO-CC0603JRNPO9BN150_C107037.html" TargetMode="External"/><Relationship Id="rId71" Type="http://schemas.openxmlformats.org/officeDocument/2006/relationships/hyperlink" Target="https://www.lcsc.com/product-detail/Chip-Resistor-Surface-Mount_YAGEO-RC0603JR-07330RL_C105879.html" TargetMode="External"/><Relationship Id="rId92" Type="http://schemas.openxmlformats.org/officeDocument/2006/relationships/hyperlink" Target="https://www.lcsc.com/product-detail/Analog-To-Digital-Converters-ADCs_Texas-Instruments-ADS1015IDGSR_C193969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29" Type="http://schemas.openxmlformats.org/officeDocument/2006/relationships/hyperlink" Target="https://www.lcsc.com/product-detail/Schottky-Barrier-Diodes-SBD_JUXING-SS510B_C3011128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Wire-To-Board-Wire-To-Wire-Connector_BOOMELE-Boom-Precision-Elec-C145963_C145963.html" TargetMode="External"/><Relationship Id="rId45" Type="http://schemas.openxmlformats.org/officeDocument/2006/relationships/hyperlink" Target="https://www.lcsc.com/product-detail/Light-Emitting-Diodes-LED_Foshan-NationStar-Optoelectronics-NCD0603R3_C3151730.html" TargetMode="External"/><Relationship Id="rId66" Type="http://schemas.openxmlformats.org/officeDocument/2006/relationships/hyperlink" Target="https://www.lcsc.com/product-detail/Chip-Resistor-Surface-Mount_YAGEO-RC0603FR-0710KL_C98220.html" TargetMode="External"/><Relationship Id="rId87" Type="http://schemas.openxmlformats.org/officeDocument/2006/relationships/hyperlink" Target="https://www.lcsc.com/product-detail/Temperature-and-Humidity-Sensor_Bosch-Sensortec-BME680_C125972.html" TargetMode="External"/><Relationship Id="rId110" Type="http://schemas.openxmlformats.org/officeDocument/2006/relationships/hyperlink" Target="https://vi.aliexpress.com/item/1005004627911510.html?gatewayAdapt=glo2vnm" TargetMode="External"/><Relationship Id="rId61" Type="http://schemas.openxmlformats.org/officeDocument/2006/relationships/hyperlink" Target="https://www.lcsc.com/product-detail/Chip-Resistor-Surface-Mount_YAGEO-RC0603FR-0727RL_C137753.html" TargetMode="External"/><Relationship Id="rId82" Type="http://schemas.openxmlformats.org/officeDocument/2006/relationships/hyperlink" Target="https://www.lcsc.com/product-detail/Linear-Voltage-Regulators-LDO_Torex-Semicon-XC6228D332VR-G_C69841.html" TargetMode="External"/><Relationship Id="rId19" Type="http://schemas.openxmlformats.org/officeDocument/2006/relationships/hyperlink" Target="https://www.lcsc.com/product-detail/Multilayer-Ceramic-Capacitors-MLCC-SMD-SMT_YAGEO-CC0603KRX5R7BB106_C2936601.html" TargetMode="External"/><Relationship Id="rId14" Type="http://schemas.openxmlformats.org/officeDocument/2006/relationships/hyperlink" Target="https://www.lcsc.com/product-detail/Tantalum-Capacitors_Kyocera-AVX-TAJB336K010RNJ_C7202.html" TargetMode="External"/><Relationship Id="rId30" Type="http://schemas.openxmlformats.org/officeDocument/2006/relationships/hyperlink" Target="https://www.lcsc.com/product-detail/Resettable-Fuses_BHFUSE-BSMD0805L-200_C2757931.html" TargetMode="External"/><Relationship Id="rId35" Type="http://schemas.openxmlformats.org/officeDocument/2006/relationships/hyperlink" Target="https://www.lcsc.com/product-detail/Wire-To-Board-Wire-To-Wire-Connector_XUNPU-WAFER-PH2-0-2PWB_C3029440.html" TargetMode="External"/><Relationship Id="rId56" Type="http://schemas.openxmlformats.org/officeDocument/2006/relationships/hyperlink" Target="https://www.lcsc.com/product-detail/Chip-Resistor-Surface-Mount_YAGEO-RC0402FR-0710KL_C60490.html" TargetMode="External"/><Relationship Id="rId77" Type="http://schemas.openxmlformats.org/officeDocument/2006/relationships/hyperlink" Target="https://www.lcsc.com/product-detail/Chip-Resistor-Surface-Mount_YAGEO-RT0603BRE07301RL_C861824.html" TargetMode="External"/><Relationship Id="rId100" Type="http://schemas.openxmlformats.org/officeDocument/2006/relationships/hyperlink" Target="https://www.lcsc.com/product-detail/Chip-Resistor-Surface-Mount_UNI-ROYAL-Uniroyal-Elec-0402WGF2492TCE_C25874.html" TargetMode="External"/><Relationship Id="rId105" Type="http://schemas.openxmlformats.org/officeDocument/2006/relationships/hyperlink" Target="https://www.lcsc.com/product-detail/FFC-FPC-Connectors_JUSHUO-AFC01-S20FCC-00_C262274.html" TargetMode="External"/><Relationship Id="rId8" Type="http://schemas.openxmlformats.org/officeDocument/2006/relationships/hyperlink" Target="https://www.lcsc.com/product-detail/Multilayer-Ceramic-Capacitors-MLCC-SMD-SMT_YAGEO-CC0603JRNPO9BN103_C389113.html" TargetMode="External"/><Relationship Id="rId51" Type="http://schemas.openxmlformats.org/officeDocument/2006/relationships/hyperlink" Target="https://www.lcsc.com/product-detail/Digital-Transistors_LRC-LMUN2211LT1G_C12775.html" TargetMode="External"/><Relationship Id="rId72" Type="http://schemas.openxmlformats.org/officeDocument/2006/relationships/hyperlink" Target="https://www.lcsc.com/product-detail/Chip-Resistor-Surface-Mount_YAGEO-RC0603FR-0710RL_C109318.html" TargetMode="External"/><Relationship Id="rId93" Type="http://schemas.openxmlformats.org/officeDocument/2006/relationships/hyperlink" Target="https://www.lcsc.com/product-detail/TVS_Littelfuse-SP0504BAHTG_C10675.html" TargetMode="External"/><Relationship Id="rId98" Type="http://schemas.openxmlformats.org/officeDocument/2006/relationships/hyperlink" Target="https://www.lcsc.com/product-detail/Multilayer-Ceramic-Capacitors-MLCC-SMD-SMT_YAGEO-CC0201JRNPO8BN100_C541202.html" TargetMode="External"/><Relationship Id="rId3" Type="http://schemas.openxmlformats.org/officeDocument/2006/relationships/hyperlink" Target="https://www.lcsc.com/product-detail/Multilayer-Ceramic-Capacitors-MLCC-SMD-SMT_YAGEO-CC0402MRX5R6BB106_C962143.html" TargetMode="External"/><Relationship Id="rId25" Type="http://schemas.openxmlformats.org/officeDocument/2006/relationships/hyperlink" Target="https://www.lcsc.com/product-detail/Schottky-Barrier-Diodes-SBD_Shikues-PMEG4030ER_C5366303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4K7L_C99782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Inductors-SMD_TDK-VLS252012HBX-100M-1_C88532.html" TargetMode="External"/><Relationship Id="rId62" Type="http://schemas.openxmlformats.org/officeDocument/2006/relationships/hyperlink" Target="https://www.lcsc.com/product-detail/Chip-Resistor-Surface-Mount_YAGEO-RC0603FR-07130RL_C141677.html" TargetMode="External"/><Relationship Id="rId83" Type="http://schemas.openxmlformats.org/officeDocument/2006/relationships/hyperlink" Target="https://www.lcsc.com/product-detail/Linear-Voltage-Regulators-LDO_Torex-Semicon-XC6228D182VR-G_C216644.html" TargetMode="External"/><Relationship Id="rId88" Type="http://schemas.openxmlformats.org/officeDocument/2006/relationships/hyperlink" Target="https://www.lcsc.com/product-detail/Translators-Level-Shifters_Texas-Instruments-TXS0108EPWR_C17206.html" TargetMode="External"/><Relationship Id="rId111" Type="http://schemas.openxmlformats.org/officeDocument/2006/relationships/hyperlink" Target="https://www.lcsc.com/product-detail/Light-Emitting-Diodes-span-style-background-color-ff0-LED-span_Yongyu-Photoelectric-SZYY0402YG_C43444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TVS_WILLSEMI-Will-Semicon-ESD5302F-3-TR_C239643.html" TargetMode="External"/><Relationship Id="rId21" Type="http://schemas.openxmlformats.org/officeDocument/2006/relationships/hyperlink" Target="https://www.lcsc.com/product-detail/Multilayer-Ceramic-Capacitors-MLCC-SMD-SMT_YAGEO-CC0603KRX5R6BB475_C109456.html" TargetMode="External"/><Relationship Id="rId42" Type="http://schemas.openxmlformats.org/officeDocument/2006/relationships/hyperlink" Target="https://www.lcsc.com/product-detail/Inductors-SMD_SHOU-HAN-CYH127-33UH_C2929502.html" TargetMode="External"/><Relationship Id="rId47" Type="http://schemas.openxmlformats.org/officeDocument/2006/relationships/hyperlink" Target="https://www.lcsc.com/product-detail/Bipolar-Transistors-BJT_TECH-PUBLIC-MMBT3904M_C2923360.html" TargetMode="External"/><Relationship Id="rId63" Type="http://schemas.openxmlformats.org/officeDocument/2006/relationships/hyperlink" Target="https://www.lcsc.com/product-detail/Chip-Resistor-Surface-Mount_YAGEO-RC0603FR-070RL_C100044.html" TargetMode="External"/><Relationship Id="rId68" Type="http://schemas.openxmlformats.org/officeDocument/2006/relationships/hyperlink" Target="https://www.lcsc.com/product-detail/Chip-Resistor-Surface-Mount_YAGEO-RC0603FR-07180KL_C123419.html" TargetMode="External"/><Relationship Id="rId84" Type="http://schemas.openxmlformats.org/officeDocument/2006/relationships/hyperlink" Target="https://www.lcsc.com/product-detail/Battery-Management-ICs_TOPPOWER-Nanjing-Extension-Microelectronics-TP4056-42-ESOP8_C16581.html" TargetMode="External"/><Relationship Id="rId89" Type="http://schemas.openxmlformats.org/officeDocument/2006/relationships/hyperlink" Target="https://www.lcsc.com/product-detail/Microcontroller-Units-MCUs-MPUs-SOCs_STMicroelectronics-STM32F446RCT6_C915971.html" TargetMode="External"/><Relationship Id="rId112" Type="http://schemas.openxmlformats.org/officeDocument/2006/relationships/drawing" Target="../drawings/drawing2.xm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07" Type="http://schemas.openxmlformats.org/officeDocument/2006/relationships/hyperlink" Target="https://www.lcsc.com/product-detail/Power-Over-Ethernet-Controllers_Texas-Instruments-TPS2375DR_C286739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Ferrite-Beads_FH-Guangdong-Fenghua-Advanced-Tech-CBM201209U601T_C139168.html" TargetMode="External"/><Relationship Id="rId37" Type="http://schemas.openxmlformats.org/officeDocument/2006/relationships/hyperlink" Target="https://www.lcsc.com/product-detail/Wire-To-Board-Wire-To-Wire-Connector_MOLEX-532610871_C293349.html" TargetMode="External"/><Relationship Id="rId53" Type="http://schemas.openxmlformats.org/officeDocument/2006/relationships/hyperlink" Target="https://www.lcsc.com/product-detail/Chip-Resistor-Surface-Mount_YAGEO-RC0402FR-071K2L_C138040.html" TargetMode="External"/><Relationship Id="rId58" Type="http://schemas.openxmlformats.org/officeDocument/2006/relationships/hyperlink" Target="https://www.lcsc.com/product-detail/Chip-Resistor-Surface-Mount_YAGEO-RC0603FR-07820RL_C114638.html" TargetMode="External"/><Relationship Id="rId74" Type="http://schemas.openxmlformats.org/officeDocument/2006/relationships/hyperlink" Target="https://www.lcsc.com/product-detail/Chip-Resistor-Surface-Mount_YAGEO-RC0603FR-074R7L_C137705.html" TargetMode="External"/><Relationship Id="rId79" Type="http://schemas.openxmlformats.org/officeDocument/2006/relationships/hyperlink" Target="https://www.lcsc.com/product-detail/Resistor-Networks-Arrays_YAGEO-YC164-FR-0710KL_C110924.html" TargetMode="External"/><Relationship Id="rId102" Type="http://schemas.openxmlformats.org/officeDocument/2006/relationships/hyperlink" Target="https://www.lcsc.com/product-detail/Crystals_Shenzhen-SCTF-Elec-DXTF321532768C10F_C5830643.html" TargetMode="Externa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90" Type="http://schemas.openxmlformats.org/officeDocument/2006/relationships/hyperlink" Target="https://www.lcsc.com/product-detail/WiFi-Modules_Espressif-Systems-ESP32-S3-WROOM-1-N16R8_C2913202.html" TargetMode="External"/><Relationship Id="rId95" Type="http://schemas.openxmlformats.org/officeDocument/2006/relationships/hyperlink" Target="https://www.lcsc.com/product-detail/Crystals_Yangxing-Tech-X50328MSB2GI_C115962.html" TargetMode="External"/><Relationship Id="rId22" Type="http://schemas.openxmlformats.org/officeDocument/2006/relationships/hyperlink" Target="https://www.lcsc.com/product-detail/ESD-Protection-Devices_MSKSEMI-SP0503BAHTG-MS_C3029025.html" TargetMode="External"/><Relationship Id="rId27" Type="http://schemas.openxmlformats.org/officeDocument/2006/relationships/hyperlink" Target="https://www.lcsc.com/product-detail/TVS_Yangzhou-Yangjie-Elec-Tech-SMAJ58A_C698958.html" TargetMode="External"/><Relationship Id="rId43" Type="http://schemas.openxmlformats.org/officeDocument/2006/relationships/hyperlink" Target="https://www.lcsc.com/product-detail/Light-Emitting-Diodes-LED_Foshan-NationStar-Optoelectronics-NCD0603G2_C87326.html" TargetMode="External"/><Relationship Id="rId48" Type="http://schemas.openxmlformats.org/officeDocument/2006/relationships/hyperlink" Target="https://www.lcsc.com/product-detail/MOSFETs_WILLSEMI-Will-Semicon-WPM2015-3-TR_C213159.html" TargetMode="External"/><Relationship Id="rId64" Type="http://schemas.openxmlformats.org/officeDocument/2006/relationships/hyperlink" Target="https://www.lcsc.com/product-detail/Chip-Resistor-Surface-Mount_YAGEO-RC0603FR-07100RL_C105588.html" TargetMode="External"/><Relationship Id="rId69" Type="http://schemas.openxmlformats.org/officeDocument/2006/relationships/hyperlink" Target="https://www.lcsc.com/product-detail/Chip-Resistor-Surface-Mount_YAGEO-AC0603FR-074K42L_C227930.html" TargetMode="External"/><Relationship Id="rId80" Type="http://schemas.openxmlformats.org/officeDocument/2006/relationships/hyperlink" Target="https://www.lcsc.com/product-detail/Slide-Switches_G-Switch-MK-11C04-G013_C778185.html" TargetMode="External"/><Relationship Id="rId85" Type="http://schemas.openxmlformats.org/officeDocument/2006/relationships/hyperlink" Target="https://www.lcsc.com/product-detail/DC-DC-Converters_XI-AN-Aerosemi-Tech-MT3608_C84817.html" TargetMode="External"/><Relationship Id="rId12" Type="http://schemas.openxmlformats.org/officeDocument/2006/relationships/hyperlink" Target="https://www.lcsc.com/product-detail/Multilayer-Ceramic-Capacitors-MLCC-SMD-SMT_YAGEO-CC1206KKX7RDBB102_C23631.html" TargetMode="External"/><Relationship Id="rId17" Type="http://schemas.openxmlformats.org/officeDocument/2006/relationships/hyperlink" Target="https://www.lcsc.com/product-detail/Multilayer-Ceramic-Capacitors-MLCC-SMD-SMT_YAGEO-CC0805MKX5R8BB226_C784585.html" TargetMode="External"/><Relationship Id="rId33" Type="http://schemas.openxmlformats.org/officeDocument/2006/relationships/hyperlink" Target="https://www.lcsc.com/product-detail/USB-Connectors_Korean-Hroparts-Elec-TYPE-C-31-M-12_C165948.html" TargetMode="External"/><Relationship Id="rId38" Type="http://schemas.openxmlformats.org/officeDocument/2006/relationships/hyperlink" Target="https://www.lcsc.com/product-detail/Female-Headers_BOOMELE-Boom-Precision-Elec-C2718488_C2718488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103" Type="http://schemas.openxmlformats.org/officeDocument/2006/relationships/hyperlink" Target="https://www.lcsc.com/product-detail/FFC-FPC-Connectors_JUSHUO-AFC01-S20FCC-00_C262274.html" TargetMode="External"/><Relationship Id="rId108" Type="http://schemas.openxmlformats.org/officeDocument/2006/relationships/hyperlink" Target="https://vi.aliexpress.com/item/1005004627911510.html?gatewayAdapt=glo2vnm" TargetMode="External"/><Relationship Id="rId54" Type="http://schemas.openxmlformats.org/officeDocument/2006/relationships/hyperlink" Target="https://www.lcsc.com/product-detail/Chip-Resistor-Surface-Mount_YAGEO-RC0402FR-073K3L_C137992.html" TargetMode="External"/><Relationship Id="rId70" Type="http://schemas.openxmlformats.org/officeDocument/2006/relationships/hyperlink" Target="https://www.lcsc.com/product-detail/Chip-Resistor-Surface-Mount_YAGEO-RC0603JR-07330RL_C105879.html" TargetMode="External"/><Relationship Id="rId75" Type="http://schemas.openxmlformats.org/officeDocument/2006/relationships/hyperlink" Target="https://www.lcsc.com/product-detail/Chip-Resistor-Surface-Mount_YAGEO-RC0603FR-0733RL_C108661.html" TargetMode="External"/><Relationship Id="rId91" Type="http://schemas.openxmlformats.org/officeDocument/2006/relationships/hyperlink" Target="https://www.lcsc.com/product-detail/Analog-To-Digital-Converters-ADCs_Texas-Instruments-ADS1015IDGSR_C193969.html" TargetMode="External"/><Relationship Id="rId96" Type="http://schemas.openxmlformats.org/officeDocument/2006/relationships/hyperlink" Target="https://www.lcsc.com/product-detail/Crystals_Seiko-Epson-Q22FA12800090_C255883.html" TargetMode="External"/><Relationship Id="rId1" Type="http://schemas.openxmlformats.org/officeDocument/2006/relationships/hyperlink" Target="https://www.lcsc.com/product-detail/Multilayer-Ceramic-Capacitors-MLCC-SMD-SMT_TDK-C1005X5R1H104K050BB_C2181865.html" TargetMode="External"/><Relationship Id="rId6" Type="http://schemas.openxmlformats.org/officeDocument/2006/relationships/hyperlink" Target="https://www.lcsc.com/product-detail/Multilayer-Ceramic-Capacitors-MLCC-SMD-SMT_YAGEO-CC0603JRNPO9BN150_C107037.html" TargetMode="External"/><Relationship Id="rId15" Type="http://schemas.openxmlformats.org/officeDocument/2006/relationships/hyperlink" Target="https://www.lcsc.com/product-detail/Multilayer-Ceramic-Capacitors-MLCC-SMD-SMT_YAGEO-CC0603KRX7R9BB223_C106222.html" TargetMode="External"/><Relationship Id="rId23" Type="http://schemas.openxmlformats.org/officeDocument/2006/relationships/hyperlink" Target="https://www.lcsc.com/product-detail/Schottky-Barrier-Diodes-SBD_Shikues-PMEG4030ER_C5366303.html" TargetMode="External"/><Relationship Id="rId28" Type="http://schemas.openxmlformats.org/officeDocument/2006/relationships/hyperlink" Target="https://www.lcsc.com/product-detail/Schottky-Barrier-Diodes-SBD_JUXING-SS510B_C3011128.html" TargetMode="External"/><Relationship Id="rId36" Type="http://schemas.openxmlformats.org/officeDocument/2006/relationships/hyperlink" Target="https://www.lcsc.com/product-detail/Wire-To-Board-Wire-To-Wire-Connector_JST-Sales-America-S5B-ZR-SM4A-TF-LF-SN_C485355.html" TargetMode="External"/><Relationship Id="rId49" Type="http://schemas.openxmlformats.org/officeDocument/2006/relationships/hyperlink" Target="https://www.lcsc.com/product-detail/MOSFETs_TECH-PUBLIC-SI2302CDS_C5310968.html" TargetMode="External"/><Relationship Id="rId57" Type="http://schemas.openxmlformats.org/officeDocument/2006/relationships/hyperlink" Target="https://www.lcsc.com/product-detail/Chip-Resistor-Surface-Mount_YAGEO-RT0603BRD0762KL_C136961.html" TargetMode="External"/><Relationship Id="rId106" Type="http://schemas.openxmlformats.org/officeDocument/2006/relationships/hyperlink" Target="https://www.lcsc.com/product-detail/Tactile-Switches_ROCPU-Switches-TP12422673_C5381384.html" TargetMode="External"/><Relationship Id="rId10" Type="http://schemas.openxmlformats.org/officeDocument/2006/relationships/hyperlink" Target="https://www.lcsc.com/product-detail/Multilayer-Ceramic-Capacitors-MLCC-SMD-SMT_YAGEO-CC0805KKX5R9BB225_C326581.html" TargetMode="External"/><Relationship Id="rId31" Type="http://schemas.openxmlformats.org/officeDocument/2006/relationships/hyperlink" Target="https://www.lcsc.com/product-detail/Ferrite-Beads_Murata-Electronics-BLM18SG121TN1D_C113030.html" TargetMode="External"/><Relationship Id="rId44" Type="http://schemas.openxmlformats.org/officeDocument/2006/relationships/hyperlink" Target="https://www.lcsc.com/product-detail/Light-Emitting-Diodes-LED_Foshan-NationStar-Optoelectronics-NCD0603R3_C3151730.html" TargetMode="External"/><Relationship Id="rId52" Type="http://schemas.openxmlformats.org/officeDocument/2006/relationships/hyperlink" Target="https://www.lcsc.com/product-detail/Chip-Resistor-Surface-Mount_YAGEO-RC0402FR-0747RL_C137973.html" TargetMode="External"/><Relationship Id="rId60" Type="http://schemas.openxmlformats.org/officeDocument/2006/relationships/hyperlink" Target="https://www.lcsc.com/product-detail/Chip-Resistor-Surface-Mount_YAGEO-RC0603FR-0727RL_C137753.html" TargetMode="External"/><Relationship Id="rId65" Type="http://schemas.openxmlformats.org/officeDocument/2006/relationships/hyperlink" Target="https://www.lcsc.com/product-detail/Chip-Resistor-Surface-Mount_YAGEO-RC0603FR-0710KL_C98220.html" TargetMode="External"/><Relationship Id="rId73" Type="http://schemas.openxmlformats.org/officeDocument/2006/relationships/hyperlink" Target="https://www.lcsc.com/product-detail/Chip-Resistor-Surface-Mount_YAGEO-PE0805FRF470R03L_C858599.html" TargetMode="External"/><Relationship Id="rId78" Type="http://schemas.openxmlformats.org/officeDocument/2006/relationships/hyperlink" Target="https://www.lcsc.com/product-detail/Chip-Resistor-Surface-Mount_YAGEO-RC0603FR-0712K4L_C137798.html" TargetMode="External"/><Relationship Id="rId81" Type="http://schemas.openxmlformats.org/officeDocument/2006/relationships/hyperlink" Target="https://www.lcsc.com/product-detail/Linear-Voltage-Regulators-LDO_Torex-Semicon-XC6228D332VR-G_C69841.html" TargetMode="External"/><Relationship Id="rId86" Type="http://schemas.openxmlformats.org/officeDocument/2006/relationships/hyperlink" Target="https://www.lcsc.com/product-detail/Temperature-and-Humidity-Sensor_Bosch-Sensortec-BME680_C125972.html" TargetMode="External"/><Relationship Id="rId94" Type="http://schemas.openxmlformats.org/officeDocument/2006/relationships/hyperlink" Target="https://www.lcsc.com/product-detail/Ethernet-ICs_WIZNET-W5500_C32843.html" TargetMode="External"/><Relationship Id="rId99" Type="http://schemas.openxmlformats.org/officeDocument/2006/relationships/hyperlink" Target="https://www.lcsc.com/product-detail/Chip-Resistor-Surface-Mount_UNI-ROYAL-Uniroyal-Elec-0402WGF2492TCE_C25874.html" TargetMode="External"/><Relationship Id="rId101" Type="http://schemas.openxmlformats.org/officeDocument/2006/relationships/hyperlink" Target="https://www.chipsmall.com/Products/MICS-6814_33188182.html" TargetMode="External"/><Relationship Id="rId4" Type="http://schemas.openxmlformats.org/officeDocument/2006/relationships/hyperlink" Target="https://www.lcsc.com/product-detail/Multilayer-Ceramic-Capacitors-MLCC-SMD-SMT_Samwha-Capacitor-CS2012X5R226M250NRE_C513764.html" TargetMode="External"/><Relationship Id="rId9" Type="http://schemas.openxmlformats.org/officeDocument/2006/relationships/hyperlink" Target="https://www.lcsc.com/product-detail/Tantalum-Capacitors_CEC-Shenzhen-Zhenhua-XinYun-Elec-CA45-A-10V-10uF-K_C128253.html" TargetMode="External"/><Relationship Id="rId13" Type="http://schemas.openxmlformats.org/officeDocument/2006/relationships/hyperlink" Target="https://www.lcsc.com/product-detail/Tantalum-Capacitors_Kyocera-AVX-TAJB336K010RNJ_C7202.html" TargetMode="External"/><Relationship Id="rId18" Type="http://schemas.openxmlformats.org/officeDocument/2006/relationships/hyperlink" Target="https://www.lcsc.com/product-detail/Multilayer-Ceramic-Capacitors-MLCC-SMD-SMT_YAGEO-CC0603KRX5R7BB106_C2936601.html" TargetMode="External"/><Relationship Id="rId39" Type="http://schemas.openxmlformats.org/officeDocument/2006/relationships/hyperlink" Target="https://www.lcsc.com/product-detail/Wire-To-Board-Wire-To-Wire-Connector_BOOMELE-Boom-Precision-Elec-C145963_C145963.html" TargetMode="External"/><Relationship Id="rId109" Type="http://schemas.openxmlformats.org/officeDocument/2006/relationships/hyperlink" Target="https://www.lcsc.com/product-detail/Light-Emitting-Diodes-span-style-background-color-ff0-LED-span_Yongyu-Photoelectric-SZYY0402YG_C434449.html" TargetMode="External"/><Relationship Id="rId34" Type="http://schemas.openxmlformats.org/officeDocument/2006/relationships/hyperlink" Target="https://www.lcsc.com/product-detail/Wire-To-Board-Wire-To-Wire-Connector_XUNPU-WAFER-PH2-0-2PWB_C3029440.html" TargetMode="External"/><Relationship Id="rId50" Type="http://schemas.openxmlformats.org/officeDocument/2006/relationships/hyperlink" Target="https://www.lcsc.com/product-detail/Digital-Transistors_LRC-LMUN2211LT1G_C12775.html" TargetMode="External"/><Relationship Id="rId55" Type="http://schemas.openxmlformats.org/officeDocument/2006/relationships/hyperlink" Target="https://www.lcsc.com/product-detail/Chip-Resistor-Surface-Mount_YAGEO-RC0402FR-0710KL_C60490.html" TargetMode="External"/><Relationship Id="rId76" Type="http://schemas.openxmlformats.org/officeDocument/2006/relationships/hyperlink" Target="https://www.lcsc.com/product-detail/Chip-Resistor-Surface-Mount_YAGEO-RT0603BRE07301RL_C861824.html" TargetMode="External"/><Relationship Id="rId97" Type="http://schemas.openxmlformats.org/officeDocument/2006/relationships/hyperlink" Target="https://www.lcsc.com/product-detail/Multilayer-Ceramic-Capacitors-MLCC-SMD-SMT_YAGEO-CC0201JRNPO8BN100_C541202.html" TargetMode="External"/><Relationship Id="rId104" Type="http://schemas.openxmlformats.org/officeDocument/2006/relationships/hyperlink" Target="https://www.lcsc.com/product-detail/Aluminum-Electrolytic-Capacitors-SMD_Ymin-VMMC0571J150MV_C487115.html" TargetMode="External"/><Relationship Id="rId7" Type="http://schemas.openxmlformats.org/officeDocument/2006/relationships/hyperlink" Target="https://www.lcsc.com/product-detail/Multilayer-Ceramic-Capacitors-MLCC-SMD-SMT_YAGEO-CC0603JRNPO9BN103_C389113.html" TargetMode="External"/><Relationship Id="rId71" Type="http://schemas.openxmlformats.org/officeDocument/2006/relationships/hyperlink" Target="https://www.lcsc.com/product-detail/Chip-Resistor-Surface-Mount_YAGEO-RC0603FR-0710RL_C109318.html" TargetMode="External"/><Relationship Id="rId92" Type="http://schemas.openxmlformats.org/officeDocument/2006/relationships/hyperlink" Target="https://www.lcsc.com/product-detail/TVS_Littelfuse-SP0504BAHTG_C10675.html" TargetMode="External"/><Relationship Id="rId2" Type="http://schemas.openxmlformats.org/officeDocument/2006/relationships/hyperlink" Target="https://www.lcsc.com/product-detail/Multilayer-Ceramic-Capacitors-MLCC-SMD-SMT_YAGEO-CC0402MRX5R6BB106_C962143.html" TargetMode="External"/><Relationship Id="rId29" Type="http://schemas.openxmlformats.org/officeDocument/2006/relationships/hyperlink" Target="https://www.lcsc.com/product-detail/Resettable-Fuses_BHFUSE-BSMD0805L-200_C2757931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Inductors-SMD_TDK-VLS252012HBX-100M-1_C88532.html" TargetMode="External"/><Relationship Id="rId45" Type="http://schemas.openxmlformats.org/officeDocument/2006/relationships/hyperlink" Target="https://www.lcsc.com/product-detail/MOSFETs_TECH-PUBLIC-SI2323DS_C5182044.html" TargetMode="External"/><Relationship Id="rId66" Type="http://schemas.openxmlformats.org/officeDocument/2006/relationships/hyperlink" Target="https://www.lcsc.com/product-detail/Chip-Resistor-Surface-Mount_YAGEO-RC0603FR-074K7L_C99782.html" TargetMode="External"/><Relationship Id="rId87" Type="http://schemas.openxmlformats.org/officeDocument/2006/relationships/hyperlink" Target="https://www.lcsc.com/product-detail/Translators-Level-Shifters_Texas-Instruments-TXS0108EPWR_C17206.html" TargetMode="External"/><Relationship Id="rId110" Type="http://schemas.openxmlformats.org/officeDocument/2006/relationships/hyperlink" Target="https://www.lcsc.com/product-detail/Power-Distribution-Switches_Texas-Instruments-TPS2116DRLR_C3235557.html" TargetMode="External"/><Relationship Id="rId61" Type="http://schemas.openxmlformats.org/officeDocument/2006/relationships/hyperlink" Target="https://www.lcsc.com/product-detail/Chip-Resistor-Surface-Mount_YAGEO-RC0603FR-07130RL_C141677.html" TargetMode="External"/><Relationship Id="rId82" Type="http://schemas.openxmlformats.org/officeDocument/2006/relationships/hyperlink" Target="https://www.lcsc.com/product-detail/Linear-Voltage-Regulators-LDO_Torex-Semicon-XC6228D182VR-G_C216644.html" TargetMode="External"/><Relationship Id="rId19" Type="http://schemas.openxmlformats.org/officeDocument/2006/relationships/hyperlink" Target="https://www.lcsc.com/product-detail/Multilayer-Ceramic-Capacitors-MLCC-SMD-SMT_YAGEO-CC0603JRNPO9BN120_C107034.html" TargetMode="External"/><Relationship Id="rId14" Type="http://schemas.openxmlformats.org/officeDocument/2006/relationships/hyperlink" Target="https://www.lcsc.com/product-detail/Multilayer-Ceramic-Capacitors-MLCC-SMD-SMT_YAGEO-CC0603KRX7R0BB104_C113803.html" TargetMode="External"/><Relationship Id="rId30" Type="http://schemas.openxmlformats.org/officeDocument/2006/relationships/hyperlink" Target="https://www.lcsc.com/product-detail/Ferrite-Beads_Murata-Electronics-BLM15PD121SN1D_C76891.html" TargetMode="External"/><Relationship Id="rId35" Type="http://schemas.openxmlformats.org/officeDocument/2006/relationships/hyperlink" Target="https://www.lcsc.com/product-detail/Wire-To-Board-Wire-To-Wire-Connector_MOLEX-532610771_C505276.html" TargetMode="External"/><Relationship Id="rId56" Type="http://schemas.openxmlformats.org/officeDocument/2006/relationships/hyperlink" Target="https://www.lcsc.com/product-detail/Chip-Resistor-Surface-Mount_YAGEO-RT0603BRD078K2L_C861589.html" TargetMode="External"/><Relationship Id="rId77" Type="http://schemas.openxmlformats.org/officeDocument/2006/relationships/hyperlink" Target="https://www.lcsc.com/product-detail/Chip-Resistor-Surface-Mount_YAGEO-RT0603BRE0757K6L_C849817.html" TargetMode="External"/><Relationship Id="rId100" Type="http://schemas.openxmlformats.org/officeDocument/2006/relationships/hyperlink" Target="https://www.chipsmall.com/Products/ENS160-BGLT_33188127.html" TargetMode="External"/><Relationship Id="rId105" Type="http://schemas.openxmlformats.org/officeDocument/2006/relationships/hyperlink" Target="https://www.lcsc.com/product-detail/Tactile-Switches_XKB-Connectivity-TS-1185EC-C-D-B_C318893.html" TargetMode="External"/><Relationship Id="rId8" Type="http://schemas.openxmlformats.org/officeDocument/2006/relationships/hyperlink" Target="https://www.lcsc.com/product-detail/Multilayer-Ceramic-Capacitors-MLCC-SMD-SMT_YAGEO-CC0603JRNPO9BN200_C105621.html" TargetMode="External"/><Relationship Id="rId51" Type="http://schemas.openxmlformats.org/officeDocument/2006/relationships/hyperlink" Target="https://www.lcsc.com/product-detail/Chip-Resistor-Surface-Mount_YAGEO-RC0603FR-071ML_C105578.html" TargetMode="External"/><Relationship Id="rId72" Type="http://schemas.openxmlformats.org/officeDocument/2006/relationships/hyperlink" Target="https://www.lcsc.com/product-detail/Chip-Resistor-Surface-Mount_YAGEO-RC0603FR-0749R9L_C114625.html" TargetMode="External"/><Relationship Id="rId93" Type="http://schemas.openxmlformats.org/officeDocument/2006/relationships/hyperlink" Target="https://www.lcsc.com/product-detail/DC-DC-Converters_XDS-TX4138_C329267.html" TargetMode="External"/><Relationship Id="rId98" Type="http://schemas.openxmlformats.org/officeDocument/2006/relationships/hyperlink" Target="https://www.lcsc.com/product-detail/span-style-background-color-ff0-Pin-span-Headers_XFCN-PZ254V-11-03P_C2937625.html" TargetMode="External"/><Relationship Id="rId3" Type="http://schemas.openxmlformats.org/officeDocument/2006/relationships/hyperlink" Target="https://www.lcsc.com/product-detail/Tantalum-Capacitors_Kyocera-AVX-TAJB107M010RNJ_C7196.html" TargetMode="External"/><Relationship Id="rId25" Type="http://schemas.openxmlformats.org/officeDocument/2006/relationships/hyperlink" Target="https://www.lcsc.com/product-detail/Schottky-Barrier-Diodes-SBD_MDD-Microdiode-Electronics-SS34_C8678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Tantalum-Capacitors_Kyocera-AVX-TAJE337M016RNJ_C51599.html" TargetMode="External"/><Relationship Id="rId41" Type="http://schemas.openxmlformats.org/officeDocument/2006/relationships/hyperlink" Target="https://www.lcsc.com/product-detail/Power-Inductors_SXN-Shun-Xiang-Nuo-Elec-SMRH74-220MT_C27442.html" TargetMode="External"/><Relationship Id="rId62" Type="http://schemas.openxmlformats.org/officeDocument/2006/relationships/hyperlink" Target="https://www.lcsc.com/product-detail/Chip-Resistor-Surface-Mount_YAGEO-RC0603FR-0715KL_C114661.html" TargetMode="External"/><Relationship Id="rId83" Type="http://schemas.openxmlformats.org/officeDocument/2006/relationships/hyperlink" Target="https://www.lcsc.com/product-detail/Linear-Voltage-Regulators-LDO_UTC-Unisonic-Tech-LD1117AG-33-AB3-A-R_C81768.html" TargetMode="External"/><Relationship Id="rId88" Type="http://schemas.openxmlformats.org/officeDocument/2006/relationships/hyperlink" Target="https://www.lcsc.com/product-detail/Linear-Voltage-Regulators-LDO_STMicroelectronics-LDK120PU33R_C2971162.html" TargetMode="External"/><Relationship Id="rId111" Type="http://schemas.openxmlformats.org/officeDocument/2006/relationships/hyperlink" Target="https://vi.aliexpress.com/item/100500492181154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128"/>
  <sheetViews>
    <sheetView tabSelected="1" topLeftCell="A106" workbookViewId="0">
      <selection activeCell="D131" sqref="D131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8554687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572</v>
      </c>
      <c r="N9" s="30" t="s">
        <v>573</v>
      </c>
      <c r="O9" s="30" t="s">
        <v>574</v>
      </c>
      <c r="P9" s="30" t="s">
        <v>575</v>
      </c>
      <c r="Q9" s="30" t="s">
        <v>576</v>
      </c>
      <c r="R9" s="30" t="s">
        <v>577</v>
      </c>
      <c r="S9" s="30" t="s">
        <v>578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653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L10*5</f>
        <v>60</v>
      </c>
      <c r="N10" s="37">
        <v>80</v>
      </c>
      <c r="O10" s="61" t="s">
        <v>587</v>
      </c>
      <c r="P10" s="38">
        <v>2.53E-2</v>
      </c>
      <c r="Q10" s="38">
        <f>P10*N10</f>
        <v>2.024</v>
      </c>
      <c r="R10" s="37"/>
      <c r="S10" s="58"/>
    </row>
    <row r="11" spans="1:19" x14ac:dyDescent="0.25">
      <c r="A11" s="1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50">
        <f t="shared" ref="M11" si="1">L11*5</f>
        <v>5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ht="48" x14ac:dyDescent="0.25">
      <c r="A12" s="1"/>
      <c r="B12" s="47">
        <f t="shared" si="0"/>
        <v>3</v>
      </c>
      <c r="C12" s="53" t="s">
        <v>9</v>
      </c>
      <c r="D12" s="37" t="s">
        <v>654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50">
        <f t="shared" ref="M12" si="3">L12*5</f>
        <v>145</v>
      </c>
      <c r="N12" s="50">
        <v>150</v>
      </c>
      <c r="O12" s="61" t="s">
        <v>587</v>
      </c>
      <c r="P12" s="51">
        <v>7.0599999999999996E-2</v>
      </c>
      <c r="Q12" s="51">
        <f t="shared" ref="Q12" si="4">P12*N12</f>
        <v>10.59</v>
      </c>
      <c r="R12" s="50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50">
        <f t="shared" ref="M13" si="5">L13*5</f>
        <v>5</v>
      </c>
      <c r="N13" s="50">
        <v>10</v>
      </c>
      <c r="O13" s="61" t="s">
        <v>587</v>
      </c>
      <c r="P13" s="51">
        <v>0.26129999999999998</v>
      </c>
      <c r="Q13" s="51">
        <f t="shared" ref="Q13" si="6">P13*N13</f>
        <v>2.6129999999999995</v>
      </c>
      <c r="R13" s="50"/>
      <c r="S13" s="58"/>
    </row>
    <row r="14" spans="1:19" ht="36" x14ac:dyDescent="0.25">
      <c r="A14" s="1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>L14*5</f>
        <v>10</v>
      </c>
      <c r="N14" s="37">
        <v>20</v>
      </c>
      <c r="O14" s="61" t="s">
        <v>587</v>
      </c>
      <c r="P14" s="38">
        <v>5.5599999999999997E-2</v>
      </c>
      <c r="Q14" s="38">
        <f>P14*N14</f>
        <v>1.1119999999999999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50">
        <f t="shared" ref="M15" si="7">L15*5</f>
        <v>5</v>
      </c>
      <c r="N15" s="50">
        <v>6</v>
      </c>
      <c r="O15" s="61" t="s">
        <v>587</v>
      </c>
      <c r="P15" s="51">
        <v>0.1772</v>
      </c>
      <c r="Q15" s="51">
        <f t="shared" ref="Q15" si="8">P15*N15</f>
        <v>1.0631999999999999</v>
      </c>
      <c r="R15" s="50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>L16*5</f>
        <v>5</v>
      </c>
      <c r="N16" s="37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x14ac:dyDescent="0.25">
      <c r="A17" s="1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50">
        <f t="shared" ref="M17" si="9">L17*5</f>
        <v>15</v>
      </c>
      <c r="N17" s="50">
        <v>50</v>
      </c>
      <c r="O17" s="61" t="s">
        <v>587</v>
      </c>
      <c r="P17" s="51">
        <v>1.4999999999999999E-2</v>
      </c>
      <c r="Q17" s="51">
        <f t="shared" ref="Q17" si="10">P17*N17</f>
        <v>0.75</v>
      </c>
      <c r="R17" s="50"/>
      <c r="S17" s="58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610</v>
      </c>
      <c r="J18" s="37" t="s">
        <v>611</v>
      </c>
      <c r="K18" s="37" t="s">
        <v>528</v>
      </c>
      <c r="L18" s="37">
        <v>2</v>
      </c>
      <c r="M18" s="37">
        <f>L18*5</f>
        <v>10</v>
      </c>
      <c r="N18" s="37">
        <v>100</v>
      </c>
      <c r="O18" s="61" t="s">
        <v>587</v>
      </c>
      <c r="P18" s="38">
        <v>1.1000000000000001E-3</v>
      </c>
      <c r="Q18" s="38">
        <f>P18*N18</f>
        <v>0.11</v>
      </c>
      <c r="R18" s="37"/>
      <c r="S18" s="58"/>
    </row>
    <row r="19" spans="1:19" x14ac:dyDescent="0.25">
      <c r="A19" s="1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50">
        <f t="shared" ref="M19" si="11">L19*5</f>
        <v>10</v>
      </c>
      <c r="N19" s="50">
        <v>100</v>
      </c>
      <c r="O19" s="61" t="s">
        <v>587</v>
      </c>
      <c r="P19" s="51">
        <v>3.0000000000000001E-3</v>
      </c>
      <c r="Q19" s="51">
        <f t="shared" ref="Q19" si="12">P19*N19</f>
        <v>0.3</v>
      </c>
      <c r="R19" s="50"/>
      <c r="S19" s="58"/>
    </row>
    <row r="20" spans="1:19" ht="24" x14ac:dyDescent="0.25">
      <c r="A20" s="1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>L20*5</f>
        <v>5</v>
      </c>
      <c r="N20" s="37">
        <v>10</v>
      </c>
      <c r="O20" s="61" t="s">
        <v>587</v>
      </c>
      <c r="P20" s="38">
        <v>7.0900000000000005E-2</v>
      </c>
      <c r="Q20" s="38">
        <f>P20*N20</f>
        <v>0.70900000000000007</v>
      </c>
      <c r="R20" s="37"/>
      <c r="S20" s="58"/>
    </row>
    <row r="21" spans="1:19" x14ac:dyDescent="0.25">
      <c r="A21" s="1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50">
        <f t="shared" ref="M21" si="13">L21*5</f>
        <v>5</v>
      </c>
      <c r="N21" s="50">
        <v>20</v>
      </c>
      <c r="O21" s="61" t="s">
        <v>587</v>
      </c>
      <c r="P21" s="51">
        <v>2.87E-2</v>
      </c>
      <c r="Q21" s="51">
        <f t="shared" ref="Q21" si="14">P21*N21</f>
        <v>0.57399999999999995</v>
      </c>
      <c r="R21" s="50"/>
      <c r="S21" s="58"/>
    </row>
    <row r="22" spans="1:19" x14ac:dyDescent="0.25">
      <c r="A22" s="1"/>
      <c r="B22" s="46">
        <f>ROW(B22) - ROW($B$9)</f>
        <v>13</v>
      </c>
      <c r="C22" s="53" t="s">
        <v>9</v>
      </c>
      <c r="D22" s="50" t="s">
        <v>631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>L22*5</f>
        <v>5</v>
      </c>
      <c r="N22" s="37">
        <v>100</v>
      </c>
      <c r="O22" s="61" t="s">
        <v>587</v>
      </c>
      <c r="P22" s="38">
        <v>2.3999999999999998E-3</v>
      </c>
      <c r="Q22" s="38">
        <f>P22*N22</f>
        <v>0.24</v>
      </c>
      <c r="R22" s="37"/>
      <c r="S22" s="58"/>
    </row>
    <row r="23" spans="1:19" x14ac:dyDescent="0.25">
      <c r="A23" s="1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>L23*5</f>
        <v>5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x14ac:dyDescent="0.25">
      <c r="A24" s="1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50">
        <f t="shared" ref="M24" si="15">L24*5</f>
        <v>5</v>
      </c>
      <c r="N24" s="50">
        <v>50</v>
      </c>
      <c r="O24" s="61" t="s">
        <v>587</v>
      </c>
      <c r="P24" s="51">
        <v>1.23E-2</v>
      </c>
      <c r="Q24" s="51">
        <f t="shared" ref="Q24" si="16">P24*N24</f>
        <v>0.61499999999999999</v>
      </c>
      <c r="R24" s="50"/>
      <c r="S24" s="58"/>
    </row>
    <row r="25" spans="1:19" x14ac:dyDescent="0.25">
      <c r="A25" s="1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>L25*5</f>
        <v>10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x14ac:dyDescent="0.25">
      <c r="A26" s="1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50">
        <f t="shared" ref="M26" si="17">L26*5</f>
        <v>5</v>
      </c>
      <c r="N26" s="50">
        <v>100</v>
      </c>
      <c r="O26" s="61" t="s">
        <v>587</v>
      </c>
      <c r="P26" s="51">
        <v>3.2000000000000002E-3</v>
      </c>
      <c r="Q26" s="51">
        <f t="shared" ref="Q26" si="18">P26*N26</f>
        <v>0.32</v>
      </c>
      <c r="R26" s="50"/>
      <c r="S26" s="58"/>
    </row>
    <row r="27" spans="1:19" x14ac:dyDescent="0.25">
      <c r="A27" s="1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>L27*5</f>
        <v>10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ht="36" x14ac:dyDescent="0.25">
      <c r="A28" s="1"/>
      <c r="B28" s="47">
        <f t="shared" si="0"/>
        <v>19</v>
      </c>
      <c r="C28" s="53" t="s">
        <v>9</v>
      </c>
      <c r="D28" s="64" t="s">
        <v>54</v>
      </c>
      <c r="E28" s="50" t="s">
        <v>638</v>
      </c>
      <c r="F28" s="50" t="s">
        <v>582</v>
      </c>
      <c r="G28" s="50" t="s">
        <v>632</v>
      </c>
      <c r="H28" s="50" t="s">
        <v>639</v>
      </c>
      <c r="I28" s="50" t="s">
        <v>588</v>
      </c>
      <c r="J28" s="50" t="s">
        <v>640</v>
      </c>
      <c r="K28" s="50" t="s">
        <v>534</v>
      </c>
      <c r="L28" s="50">
        <v>1</v>
      </c>
      <c r="M28" s="50">
        <f t="shared" ref="M28" si="19">L28*5</f>
        <v>5</v>
      </c>
      <c r="N28" s="50">
        <v>10</v>
      </c>
      <c r="O28" s="61" t="s">
        <v>587</v>
      </c>
      <c r="P28" s="51">
        <v>1.7399999999999999E-2</v>
      </c>
      <c r="Q28" s="51">
        <f t="shared" ref="Q28" si="20">P28*N28</f>
        <v>0.17399999999999999</v>
      </c>
      <c r="R28" s="50"/>
      <c r="S28" s="58"/>
    </row>
    <row r="29" spans="1:19" x14ac:dyDescent="0.25">
      <c r="A29" s="1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>L29*5</f>
        <v>10</v>
      </c>
      <c r="N29" s="37">
        <v>20</v>
      </c>
      <c r="O29" s="61" t="s">
        <v>587</v>
      </c>
      <c r="P29" s="38">
        <v>6.4199999999999993E-2</v>
      </c>
      <c r="Q29" s="38">
        <f>P29*N29</f>
        <v>1.2839999999999998</v>
      </c>
      <c r="R29" s="37"/>
      <c r="S29" s="58"/>
    </row>
    <row r="30" spans="1:19" x14ac:dyDescent="0.25">
      <c r="A30" s="1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50">
        <f t="shared" ref="M30" si="21">L30*5</f>
        <v>10</v>
      </c>
      <c r="N30" s="50">
        <v>15</v>
      </c>
      <c r="O30" s="61" t="s">
        <v>587</v>
      </c>
      <c r="P30" s="51">
        <v>0.1552</v>
      </c>
      <c r="Q30" s="51">
        <f t="shared" ref="Q30" si="22">P30*N30</f>
        <v>2.3280000000000003</v>
      </c>
      <c r="R30" s="50"/>
      <c r="S30" s="58"/>
    </row>
    <row r="31" spans="1:19" x14ac:dyDescent="0.25">
      <c r="A31" s="1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>L31*5</f>
        <v>15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x14ac:dyDescent="0.25">
      <c r="A32" s="1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50">
        <f t="shared" ref="M32" si="23">L32*5</f>
        <v>5</v>
      </c>
      <c r="N32" s="50">
        <v>6</v>
      </c>
      <c r="O32" s="61" t="s">
        <v>587</v>
      </c>
      <c r="P32" s="51">
        <v>1.5511999999999999</v>
      </c>
      <c r="Q32" s="51">
        <f t="shared" ref="Q32" si="24">P32*N32</f>
        <v>9.3071999999999999</v>
      </c>
      <c r="R32" s="50"/>
      <c r="S32" s="58"/>
    </row>
    <row r="33" spans="1:19" x14ac:dyDescent="0.25">
      <c r="A33" s="1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>L33*5</f>
        <v>5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ht="24" x14ac:dyDescent="0.25">
      <c r="A34" s="1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50">
        <f t="shared" ref="M34" si="25">L34*5</f>
        <v>5</v>
      </c>
      <c r="N34" s="50">
        <v>10</v>
      </c>
      <c r="O34" s="61" t="s">
        <v>587</v>
      </c>
      <c r="P34" s="51">
        <v>8.6499999999999994E-2</v>
      </c>
      <c r="Q34" s="51">
        <f t="shared" ref="Q34" si="26">P34*N34</f>
        <v>0.86499999999999999</v>
      </c>
      <c r="R34" s="50"/>
      <c r="S34" s="58"/>
    </row>
    <row r="35" spans="1:19" ht="24" x14ac:dyDescent="0.25">
      <c r="A35" s="1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>L35*5</f>
        <v>5</v>
      </c>
      <c r="N35" s="37">
        <v>10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ht="24" x14ac:dyDescent="0.25">
      <c r="A36" s="1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50">
        <f t="shared" ref="M36" si="27">L36*5</f>
        <v>10</v>
      </c>
      <c r="N36" s="50">
        <v>20</v>
      </c>
      <c r="O36" s="61" t="s">
        <v>587</v>
      </c>
      <c r="P36" s="51">
        <v>6.1800000000000001E-2</v>
      </c>
      <c r="Q36" s="51">
        <f t="shared" ref="Q36" si="28">P36*N36</f>
        <v>1.236</v>
      </c>
      <c r="R36" s="50"/>
      <c r="S36" s="58"/>
    </row>
    <row r="37" spans="1:19" ht="36" x14ac:dyDescent="0.25">
      <c r="A37" s="1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>L37*5</f>
        <v>5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ht="24" x14ac:dyDescent="0.25">
      <c r="A38" s="1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50">
        <f t="shared" ref="M38" si="29">L38*5</f>
        <v>5</v>
      </c>
      <c r="N38" s="50">
        <v>10</v>
      </c>
      <c r="O38" s="61" t="s">
        <v>587</v>
      </c>
      <c r="P38" s="51">
        <v>8.6400000000000005E-2</v>
      </c>
      <c r="Q38" s="51">
        <f t="shared" ref="Q38" si="30">P38*N38</f>
        <v>0.8640000000000001</v>
      </c>
      <c r="R38" s="50"/>
      <c r="S38" s="58"/>
    </row>
    <row r="39" spans="1:19" ht="24" x14ac:dyDescent="0.25">
      <c r="A39" s="1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>L39*5</f>
        <v>5</v>
      </c>
      <c r="N39" s="37">
        <v>10</v>
      </c>
      <c r="O39" s="61" t="s">
        <v>587</v>
      </c>
      <c r="P39" s="38">
        <v>4.6899999999999997E-2</v>
      </c>
      <c r="Q39" s="38">
        <f>P39*N39</f>
        <v>0.46899999999999997</v>
      </c>
      <c r="R39" s="37"/>
      <c r="S39" s="58"/>
    </row>
    <row r="40" spans="1:19" x14ac:dyDescent="0.25">
      <c r="A40" s="1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50">
        <f t="shared" ref="M40" si="31">L40*5</f>
        <v>5</v>
      </c>
      <c r="N40" s="50">
        <v>10</v>
      </c>
      <c r="O40" s="61" t="s">
        <v>587</v>
      </c>
      <c r="P40" s="51">
        <v>4.5600000000000002E-2</v>
      </c>
      <c r="Q40" s="51">
        <f t="shared" ref="Q40" si="32">P40*N40</f>
        <v>0.45600000000000002</v>
      </c>
      <c r="R40" s="50"/>
      <c r="S40" s="58"/>
    </row>
    <row r="41" spans="1:19" ht="24" x14ac:dyDescent="0.25">
      <c r="A41" s="1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>L41*5</f>
        <v>10</v>
      </c>
      <c r="N41" s="37">
        <v>15</v>
      </c>
      <c r="O41" s="61" t="s">
        <v>587</v>
      </c>
      <c r="P41" s="38">
        <v>9.2999999999999999E-2</v>
      </c>
      <c r="Q41" s="38">
        <f>P41*N41</f>
        <v>1.395</v>
      </c>
      <c r="R41" s="37"/>
      <c r="S41" s="58"/>
    </row>
    <row r="42" spans="1:19" x14ac:dyDescent="0.25">
      <c r="A42" s="1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>L42*5</f>
        <v>25</v>
      </c>
      <c r="N42" s="37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x14ac:dyDescent="0.25">
      <c r="A43" s="1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50">
        <f t="shared" ref="M43" si="33">L43*5</f>
        <v>15</v>
      </c>
      <c r="N43" s="50">
        <v>20</v>
      </c>
      <c r="O43" s="61" t="s">
        <v>587</v>
      </c>
      <c r="P43" s="51">
        <v>3.0599999999999999E-2</v>
      </c>
      <c r="Q43" s="51">
        <f t="shared" ref="Q43" si="34">P43*N43</f>
        <v>0.61199999999999999</v>
      </c>
      <c r="R43" s="50"/>
      <c r="S43" s="58"/>
    </row>
    <row r="44" spans="1:19" ht="24" x14ac:dyDescent="0.25">
      <c r="A44" s="1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>L44*5</f>
        <v>10</v>
      </c>
      <c r="N44" s="37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ht="24" x14ac:dyDescent="0.25">
      <c r="A45" s="1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50">
        <f t="shared" ref="M45" si="35">L45*5</f>
        <v>5</v>
      </c>
      <c r="N45" s="50">
        <v>10</v>
      </c>
      <c r="O45" s="61" t="s">
        <v>587</v>
      </c>
      <c r="P45" s="51">
        <v>0.21590000000000001</v>
      </c>
      <c r="Q45" s="51">
        <f t="shared" ref="Q45" si="36">P45*N45</f>
        <v>2.1590000000000003</v>
      </c>
      <c r="R45" s="50"/>
      <c r="S45" s="58"/>
    </row>
    <row r="46" spans="1:19" ht="36" x14ac:dyDescent="0.25">
      <c r="A46" s="1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>L46*5</f>
        <v>5</v>
      </c>
      <c r="N46" s="37">
        <v>10</v>
      </c>
      <c r="O46" s="61" t="s">
        <v>587</v>
      </c>
      <c r="P46" s="38">
        <v>4.6600000000000003E-2</v>
      </c>
      <c r="Q46" s="38">
        <f>P46*N46</f>
        <v>0.46600000000000003</v>
      </c>
      <c r="R46" s="37"/>
      <c r="S46" s="58"/>
    </row>
    <row r="47" spans="1:19" ht="25.5" x14ac:dyDescent="0.25">
      <c r="A47" s="1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>L47*5</f>
        <v>5</v>
      </c>
      <c r="N47" s="37">
        <v>10</v>
      </c>
      <c r="O47" s="61" t="s">
        <v>587</v>
      </c>
      <c r="P47" s="38">
        <v>0.2331</v>
      </c>
      <c r="Q47" s="38">
        <f>P47*N47</f>
        <v>2.331</v>
      </c>
      <c r="R47" s="37"/>
      <c r="S47" s="58"/>
    </row>
    <row r="48" spans="1:19" ht="36" x14ac:dyDescent="0.25">
      <c r="A48" s="1"/>
      <c r="B48" s="47">
        <f t="shared" si="0"/>
        <v>39</v>
      </c>
      <c r="C48" s="53" t="s">
        <v>15</v>
      </c>
      <c r="D48" s="64" t="s">
        <v>72</v>
      </c>
      <c r="E48" s="50" t="s">
        <v>636</v>
      </c>
      <c r="F48" s="50" t="s">
        <v>582</v>
      </c>
      <c r="G48" s="50" t="s">
        <v>633</v>
      </c>
      <c r="H48" s="50" t="s">
        <v>404</v>
      </c>
      <c r="I48" s="50"/>
      <c r="J48" s="50" t="s">
        <v>637</v>
      </c>
      <c r="K48" s="50" t="s">
        <v>588</v>
      </c>
      <c r="L48" s="50">
        <v>1</v>
      </c>
      <c r="M48" s="50">
        <f t="shared" ref="M48" si="37">L48*5</f>
        <v>5</v>
      </c>
      <c r="N48" s="50">
        <v>10</v>
      </c>
      <c r="O48" s="61" t="s">
        <v>587</v>
      </c>
      <c r="P48" s="51">
        <v>8.6599999999999996E-2</v>
      </c>
      <c r="Q48" s="51">
        <f t="shared" ref="Q48" si="38">P48*N48</f>
        <v>0.86599999999999999</v>
      </c>
      <c r="R48" s="50"/>
      <c r="S48" s="58"/>
    </row>
    <row r="49" spans="1:19" ht="25.5" x14ac:dyDescent="0.25">
      <c r="A49" s="1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>L49*5</f>
        <v>5</v>
      </c>
      <c r="N49" s="37">
        <v>10</v>
      </c>
      <c r="O49" s="61" t="s">
        <v>587</v>
      </c>
      <c r="P49" s="38">
        <v>0.2094</v>
      </c>
      <c r="Q49" s="38">
        <f>P49*N49</f>
        <v>2.0939999999999999</v>
      </c>
      <c r="R49" s="37"/>
      <c r="S49" s="58"/>
    </row>
    <row r="50" spans="1:19" ht="25.5" x14ac:dyDescent="0.25">
      <c r="A50" s="1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50">
        <f t="shared" ref="M50" si="39">L50*5</f>
        <v>5</v>
      </c>
      <c r="N50" s="50">
        <v>10</v>
      </c>
      <c r="O50" s="61" t="s">
        <v>587</v>
      </c>
      <c r="P50" s="51">
        <v>0.25140000000000001</v>
      </c>
      <c r="Q50" s="51">
        <f t="shared" ref="Q50" si="40">P50*N50</f>
        <v>2.5140000000000002</v>
      </c>
      <c r="R50" s="50"/>
      <c r="S50" s="58"/>
    </row>
    <row r="51" spans="1:19" ht="48" x14ac:dyDescent="0.25">
      <c r="A51" s="1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>L51*5</f>
        <v>5</v>
      </c>
      <c r="N51" s="37">
        <v>10</v>
      </c>
      <c r="O51" s="61" t="s">
        <v>587</v>
      </c>
      <c r="P51" s="38">
        <v>4.2200000000000001E-2</v>
      </c>
      <c r="Q51" s="38">
        <f>P51*N51</f>
        <v>0.42200000000000004</v>
      </c>
      <c r="R51" s="37"/>
      <c r="S51" s="58"/>
    </row>
    <row r="52" spans="1:19" x14ac:dyDescent="0.25">
      <c r="A52" s="1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612</v>
      </c>
      <c r="J52" s="50" t="s">
        <v>613</v>
      </c>
      <c r="K52" s="50"/>
      <c r="L52" s="50">
        <v>3</v>
      </c>
      <c r="M52" s="50">
        <f t="shared" ref="M52" si="41">L52*5</f>
        <v>15</v>
      </c>
      <c r="N52" s="50">
        <v>50</v>
      </c>
      <c r="O52" s="61" t="s">
        <v>587</v>
      </c>
      <c r="P52" s="51">
        <v>1.46E-2</v>
      </c>
      <c r="Q52" s="51">
        <f t="shared" ref="Q52" si="42">P52*N52</f>
        <v>0.73</v>
      </c>
      <c r="R52" s="50"/>
      <c r="S52" s="58"/>
    </row>
    <row r="53" spans="1:19" x14ac:dyDescent="0.25">
      <c r="A53" s="1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>L53*5</f>
        <v>5</v>
      </c>
      <c r="N53" s="37"/>
      <c r="O53" s="66" t="s">
        <v>588</v>
      </c>
      <c r="P53" s="66" t="s">
        <v>588</v>
      </c>
      <c r="Q53" s="66" t="s">
        <v>588</v>
      </c>
      <c r="R53" s="66"/>
      <c r="S53" s="58"/>
    </row>
    <row r="54" spans="1:19" ht="24" x14ac:dyDescent="0.25">
      <c r="A54" s="1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50">
        <f t="shared" ref="M54" si="43">L54*5</f>
        <v>5</v>
      </c>
      <c r="N54" s="50">
        <v>12</v>
      </c>
      <c r="O54" s="61" t="s">
        <v>587</v>
      </c>
      <c r="P54" s="51">
        <v>7.0400000000000004E-2</v>
      </c>
      <c r="Q54" s="51">
        <f t="shared" ref="Q54" si="44">P54*N54</f>
        <v>0.8448</v>
      </c>
      <c r="R54" s="50"/>
      <c r="S54" s="58"/>
    </row>
    <row r="55" spans="1:19" ht="36" x14ac:dyDescent="0.25">
      <c r="A55" s="1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>L55*5</f>
        <v>5</v>
      </c>
      <c r="N55" s="37">
        <v>6</v>
      </c>
      <c r="O55" s="61" t="s">
        <v>619</v>
      </c>
      <c r="P55" s="38">
        <v>2.7</v>
      </c>
      <c r="Q55" s="38">
        <f>P55*N55</f>
        <v>16.200000000000003</v>
      </c>
      <c r="R55" s="37"/>
      <c r="S55" s="58"/>
    </row>
    <row r="56" spans="1:19" x14ac:dyDescent="0.25">
      <c r="A56" s="1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>L56*5</f>
        <v>5</v>
      </c>
      <c r="N56" s="37">
        <v>10</v>
      </c>
      <c r="O56" s="61" t="s">
        <v>587</v>
      </c>
      <c r="P56" s="38">
        <v>7.0300000000000001E-2</v>
      </c>
      <c r="Q56" s="38">
        <f>P56*N56</f>
        <v>0.70300000000000007</v>
      </c>
      <c r="R56" s="37"/>
      <c r="S56" s="58"/>
    </row>
    <row r="57" spans="1:19" ht="24" x14ac:dyDescent="0.25">
      <c r="A57" s="1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50">
        <f t="shared" ref="M57" si="45">L57*5</f>
        <v>5</v>
      </c>
      <c r="N57" s="50">
        <v>10</v>
      </c>
      <c r="O57" s="61" t="s">
        <v>587</v>
      </c>
      <c r="P57" s="51">
        <v>0.20399999999999999</v>
      </c>
      <c r="Q57" s="51">
        <f t="shared" ref="Q57" si="46">P57*N57</f>
        <v>2.04</v>
      </c>
      <c r="R57" s="50"/>
      <c r="S57" s="58"/>
    </row>
    <row r="58" spans="1:19" ht="36" x14ac:dyDescent="0.25">
      <c r="A58" s="1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>L58*5</f>
        <v>5</v>
      </c>
      <c r="N58" s="37">
        <v>10</v>
      </c>
      <c r="O58" s="61" t="s">
        <v>587</v>
      </c>
      <c r="P58" s="38">
        <v>0.22939999999999999</v>
      </c>
      <c r="Q58" s="38">
        <f>P58*N58</f>
        <v>2.294</v>
      </c>
      <c r="R58" s="37"/>
      <c r="S58" s="58"/>
    </row>
    <row r="59" spans="1:19" ht="24" x14ac:dyDescent="0.25">
      <c r="A59" s="1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50">
        <f t="shared" ref="M59" si="47">L59*5</f>
        <v>5</v>
      </c>
      <c r="N59" s="50">
        <v>20</v>
      </c>
      <c r="O59" s="61" t="s">
        <v>587</v>
      </c>
      <c r="P59" s="51">
        <v>2.4299999999999999E-2</v>
      </c>
      <c r="Q59" s="51">
        <f t="shared" ref="Q59" si="48">P59*N59</f>
        <v>0.48599999999999999</v>
      </c>
      <c r="R59" s="50"/>
      <c r="S59" s="58"/>
    </row>
    <row r="60" spans="1:19" ht="24" x14ac:dyDescent="0.25">
      <c r="A60" s="1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>L60*5</f>
        <v>10</v>
      </c>
      <c r="N60" s="37">
        <v>20</v>
      </c>
      <c r="O60" s="61" t="s">
        <v>587</v>
      </c>
      <c r="P60" s="38">
        <v>2.3E-2</v>
      </c>
      <c r="Q60" s="38">
        <f>P60*N60</f>
        <v>0.45999999999999996</v>
      </c>
      <c r="R60" s="37"/>
      <c r="S60" s="58"/>
    </row>
    <row r="61" spans="1:19" x14ac:dyDescent="0.25">
      <c r="A61" s="1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650</v>
      </c>
      <c r="J61" s="50" t="s">
        <v>651</v>
      </c>
      <c r="K61" s="50" t="s">
        <v>588</v>
      </c>
      <c r="L61" s="50">
        <v>1</v>
      </c>
      <c r="M61" s="50">
        <f t="shared" ref="M61" si="49">L61*5</f>
        <v>5</v>
      </c>
      <c r="N61" s="50">
        <v>50</v>
      </c>
      <c r="O61" s="61" t="s">
        <v>587</v>
      </c>
      <c r="P61" s="51">
        <v>1.54E-2</v>
      </c>
      <c r="Q61" s="51">
        <f t="shared" ref="Q61" si="50">P61*N61</f>
        <v>0.77</v>
      </c>
      <c r="R61" s="50"/>
      <c r="S61" s="58"/>
    </row>
    <row r="62" spans="1:19" ht="36" x14ac:dyDescent="0.25">
      <c r="A62" s="1"/>
      <c r="B62" s="46">
        <f>ROW(B62) - ROW($B$9)</f>
        <v>53</v>
      </c>
      <c r="C62" s="53" t="s">
        <v>282</v>
      </c>
      <c r="D62" s="66" t="s">
        <v>657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20</v>
      </c>
      <c r="M62" s="66">
        <f>L62*5</f>
        <v>100</v>
      </c>
      <c r="N62" s="66" t="s">
        <v>588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x14ac:dyDescent="0.25">
      <c r="A63" s="1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50">
        <f t="shared" ref="M63" si="51">L63*5</f>
        <v>5</v>
      </c>
      <c r="N63" s="37">
        <v>10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x14ac:dyDescent="0.25">
      <c r="A64" s="1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>L64*5</f>
        <v>5</v>
      </c>
      <c r="N64" s="37">
        <v>10</v>
      </c>
      <c r="O64" s="61" t="s">
        <v>587</v>
      </c>
      <c r="P64" s="38">
        <v>0.1</v>
      </c>
      <c r="Q64" s="38">
        <f>P64*N64</f>
        <v>1</v>
      </c>
      <c r="R64" s="37"/>
      <c r="S64" s="58"/>
    </row>
    <row r="65" spans="1:19" ht="48" x14ac:dyDescent="0.25">
      <c r="A65" s="1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50">
        <f t="shared" ref="M65" si="52">L65*5</f>
        <v>5</v>
      </c>
      <c r="N65" s="50">
        <v>20</v>
      </c>
      <c r="O65" s="61" t="s">
        <v>587</v>
      </c>
      <c r="P65" s="51">
        <v>3.3500000000000002E-2</v>
      </c>
      <c r="Q65" s="51">
        <f t="shared" ref="Q65" si="53">P65*N65</f>
        <v>0.67</v>
      </c>
      <c r="R65" s="50"/>
      <c r="S65" s="58"/>
    </row>
    <row r="66" spans="1:19" ht="36" x14ac:dyDescent="0.25">
      <c r="A66" s="1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>L66*5</f>
        <v>10</v>
      </c>
      <c r="N66" s="37">
        <v>20</v>
      </c>
      <c r="O66" s="61" t="s">
        <v>587</v>
      </c>
      <c r="P66" s="38">
        <v>6.6600000000000006E-2</v>
      </c>
      <c r="Q66" s="38">
        <f>P66*N66</f>
        <v>1.3320000000000001</v>
      </c>
      <c r="R66" s="37"/>
      <c r="S66" s="58"/>
    </row>
    <row r="67" spans="1:19" x14ac:dyDescent="0.25">
      <c r="A67" s="1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50">
        <f t="shared" ref="M67" si="54">L67*5</f>
        <v>5</v>
      </c>
      <c r="N67" s="50">
        <v>20</v>
      </c>
      <c r="O67" s="61" t="s">
        <v>587</v>
      </c>
      <c r="P67" s="51">
        <v>3.4099999999999998E-2</v>
      </c>
      <c r="Q67" s="51">
        <f t="shared" ref="Q67" si="55">P67*N67</f>
        <v>0.68199999999999994</v>
      </c>
      <c r="R67" s="50"/>
      <c r="S67" s="58"/>
    </row>
    <row r="68" spans="1:19" ht="24" x14ac:dyDescent="0.25">
      <c r="A68" s="1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>L68*5</f>
        <v>5</v>
      </c>
      <c r="N68" s="37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x14ac:dyDescent="0.25">
      <c r="A69" s="1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50">
        <f t="shared" ref="M69" si="56">L69*5</f>
        <v>20</v>
      </c>
      <c r="N69" s="50">
        <v>100</v>
      </c>
      <c r="O69" s="61" t="s">
        <v>587</v>
      </c>
      <c r="P69" s="51">
        <v>1.2999999999999999E-3</v>
      </c>
      <c r="Q69" s="51">
        <f t="shared" ref="Q69" si="57">P69*N69</f>
        <v>0.13</v>
      </c>
      <c r="R69" s="50"/>
      <c r="S69" s="58"/>
    </row>
    <row r="70" spans="1:19" x14ac:dyDescent="0.25">
      <c r="A70" s="1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>L70*5</f>
        <v>10</v>
      </c>
      <c r="N70" s="37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ht="36" x14ac:dyDescent="0.25">
      <c r="A71" s="1"/>
      <c r="B71" s="47">
        <f>ROW(B71) - ROW($B$9)</f>
        <v>62</v>
      </c>
      <c r="C71" s="53" t="s">
        <v>27</v>
      </c>
      <c r="D71" s="37" t="s">
        <v>655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19</v>
      </c>
      <c r="M71" s="50">
        <f t="shared" ref="M71" si="58">L71*5</f>
        <v>95</v>
      </c>
      <c r="N71" s="50">
        <v>100</v>
      </c>
      <c r="O71" s="61" t="s">
        <v>587</v>
      </c>
      <c r="P71" s="51">
        <v>5.9999999999999995E-4</v>
      </c>
      <c r="Q71" s="51">
        <f t="shared" ref="Q71" si="59">P71*N71</f>
        <v>0.06</v>
      </c>
      <c r="R71" s="50"/>
      <c r="S71" s="58"/>
    </row>
    <row r="72" spans="1:19" x14ac:dyDescent="0.25">
      <c r="A72" s="1"/>
      <c r="B72" s="47">
        <f>ROW(B72) - ROW($B$9)</f>
        <v>63</v>
      </c>
      <c r="C72" s="53" t="s">
        <v>27</v>
      </c>
      <c r="D72" s="64" t="s">
        <v>609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50">
        <f t="shared" ref="M72" si="60">L72*5</f>
        <v>30</v>
      </c>
      <c r="N72" s="50">
        <v>100</v>
      </c>
      <c r="O72" s="61" t="s">
        <v>587</v>
      </c>
      <c r="P72" s="51">
        <v>1E-3</v>
      </c>
      <c r="Q72" s="51">
        <f t="shared" ref="Q72" si="61">P72*N72</f>
        <v>0.1</v>
      </c>
      <c r="R72" s="50"/>
      <c r="S72" s="58"/>
    </row>
    <row r="73" spans="1:19" x14ac:dyDescent="0.25">
      <c r="A73" s="1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50">
        <f t="shared" ref="M73" si="62">L73*5</f>
        <v>10</v>
      </c>
      <c r="N73" s="50">
        <v>100</v>
      </c>
      <c r="O73" s="61" t="s">
        <v>587</v>
      </c>
      <c r="P73" s="51">
        <v>6.9999999999999999E-4</v>
      </c>
      <c r="Q73" s="51">
        <f t="shared" ref="Q73" si="63">P73*N73</f>
        <v>6.9999999999999993E-2</v>
      </c>
      <c r="R73" s="50"/>
      <c r="S73" s="58"/>
    </row>
    <row r="74" spans="1:19" x14ac:dyDescent="0.25">
      <c r="A74" s="1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>L74*5</f>
        <v>5</v>
      </c>
      <c r="N74" s="37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x14ac:dyDescent="0.25">
      <c r="A75" s="1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>L75*5</f>
        <v>5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x14ac:dyDescent="0.25">
      <c r="A76" s="1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50">
        <f t="shared" ref="M76" si="64">L76*5</f>
        <v>5</v>
      </c>
      <c r="N76" s="50">
        <v>20</v>
      </c>
      <c r="O76" s="61" t="s">
        <v>587</v>
      </c>
      <c r="P76" s="51">
        <v>2.5000000000000001E-2</v>
      </c>
      <c r="Q76" s="51">
        <f t="shared" ref="Q76" si="65">P76*N76</f>
        <v>0.5</v>
      </c>
      <c r="R76" s="50"/>
      <c r="S76" s="58"/>
    </row>
    <row r="77" spans="1:19" x14ac:dyDescent="0.25">
      <c r="A77" s="1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>L77*5</f>
        <v>5</v>
      </c>
      <c r="N77" s="37">
        <v>100</v>
      </c>
      <c r="O77" s="61" t="s">
        <v>587</v>
      </c>
      <c r="P77" s="38">
        <v>1.1999999999999999E-3</v>
      </c>
      <c r="Q77" s="38">
        <f>P77*N77</f>
        <v>0.12</v>
      </c>
      <c r="R77" s="37"/>
      <c r="S77" s="58"/>
    </row>
    <row r="78" spans="1:19" x14ac:dyDescent="0.25">
      <c r="A78" s="1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50">
        <f t="shared" ref="M78" si="66">L78*5</f>
        <v>5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x14ac:dyDescent="0.25">
      <c r="A79" s="1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>L79*5</f>
        <v>5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x14ac:dyDescent="0.25">
      <c r="A80" s="1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50">
        <f t="shared" ref="M80" si="67">L80*5</f>
        <v>5</v>
      </c>
      <c r="N80" s="50">
        <v>100</v>
      </c>
      <c r="O80" s="61" t="s">
        <v>587</v>
      </c>
      <c r="P80" s="51">
        <v>1.2999999999999999E-3</v>
      </c>
      <c r="Q80" s="51">
        <f t="shared" ref="Q80" si="68">P80*N80</f>
        <v>0.13</v>
      </c>
      <c r="R80" s="50"/>
      <c r="S80" s="58"/>
    </row>
    <row r="81" spans="1:19" x14ac:dyDescent="0.25">
      <c r="A81" s="1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>L81*5</f>
        <v>5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x14ac:dyDescent="0.25">
      <c r="A82" s="1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50">
        <f t="shared" ref="M82" si="69">L82*5</f>
        <v>5</v>
      </c>
      <c r="N82" s="50">
        <v>100</v>
      </c>
      <c r="O82" s="61" t="s">
        <v>587</v>
      </c>
      <c r="P82" s="51">
        <v>1.2999999999999999E-3</v>
      </c>
      <c r="Q82" s="51">
        <f t="shared" ref="Q82" si="70">P82*N82</f>
        <v>0.13</v>
      </c>
      <c r="R82" s="50"/>
      <c r="S82" s="58"/>
    </row>
    <row r="83" spans="1:19" x14ac:dyDescent="0.25">
      <c r="A83" s="1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>L83*5</f>
        <v>5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x14ac:dyDescent="0.25">
      <c r="A84" s="1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>L84*5</f>
        <v>15</v>
      </c>
      <c r="N84" s="37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x14ac:dyDescent="0.25">
      <c r="A85" s="1"/>
      <c r="B85" s="47">
        <f t="shared" si="0"/>
        <v>76</v>
      </c>
      <c r="C85" s="53" t="s">
        <v>27</v>
      </c>
      <c r="D85" s="37" t="s">
        <v>656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1</v>
      </c>
      <c r="M85" s="50">
        <f t="shared" ref="M85" si="71">L85*5</f>
        <v>5</v>
      </c>
      <c r="N85" s="50">
        <v>100</v>
      </c>
      <c r="O85" s="61" t="s">
        <v>587</v>
      </c>
      <c r="P85" s="51">
        <v>1E-3</v>
      </c>
      <c r="Q85" s="51">
        <f t="shared" ref="Q85" si="72">P85*N85</f>
        <v>0.1</v>
      </c>
      <c r="R85" s="50"/>
      <c r="S85" s="58"/>
    </row>
    <row r="86" spans="1:19" x14ac:dyDescent="0.25">
      <c r="A86" s="1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>L86*5</f>
        <v>5</v>
      </c>
      <c r="N86" s="37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x14ac:dyDescent="0.25">
      <c r="A87" s="1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620</v>
      </c>
      <c r="J87" s="50" t="s">
        <v>621</v>
      </c>
      <c r="K87" s="50" t="s">
        <v>557</v>
      </c>
      <c r="L87" s="50">
        <v>1</v>
      </c>
      <c r="M87" s="50">
        <f t="shared" ref="M87" si="73">L87*5</f>
        <v>5</v>
      </c>
      <c r="N87" s="50">
        <v>100</v>
      </c>
      <c r="O87" s="61" t="s">
        <v>587</v>
      </c>
      <c r="P87" s="51">
        <v>5.9999999999999995E-4</v>
      </c>
      <c r="Q87" s="51">
        <f t="shared" ref="Q87" si="74">P87*N87</f>
        <v>0.06</v>
      </c>
      <c r="R87" s="50"/>
      <c r="S87" s="58"/>
    </row>
    <row r="88" spans="1:19" x14ac:dyDescent="0.25">
      <c r="A88" s="1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>L88*5</f>
        <v>5</v>
      </c>
      <c r="N88" s="37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x14ac:dyDescent="0.25">
      <c r="A89" s="1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50">
        <f t="shared" ref="M89" si="75">L89*5</f>
        <v>10</v>
      </c>
      <c r="N89" s="50">
        <v>100</v>
      </c>
      <c r="O89" s="61" t="s">
        <v>587</v>
      </c>
      <c r="P89" s="51">
        <v>1.1000000000000001E-3</v>
      </c>
      <c r="Q89" s="51">
        <f t="shared" ref="Q89" si="76">P89*N89</f>
        <v>0.11</v>
      </c>
      <c r="R89" s="50"/>
      <c r="S89" s="58"/>
    </row>
    <row r="90" spans="1:19" x14ac:dyDescent="0.25">
      <c r="A90" s="1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>L90*5</f>
        <v>5</v>
      </c>
      <c r="N90" s="37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x14ac:dyDescent="0.25">
      <c r="A91" s="1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50">
        <f t="shared" ref="M91" si="77">L91*5</f>
        <v>20</v>
      </c>
      <c r="N91" s="50">
        <v>100</v>
      </c>
      <c r="O91" s="61" t="s">
        <v>587</v>
      </c>
      <c r="P91" s="51">
        <v>1.1999999999999999E-3</v>
      </c>
      <c r="Q91" s="51">
        <f t="shared" ref="Q91" si="78">P91*N91</f>
        <v>0.12</v>
      </c>
      <c r="R91" s="50"/>
      <c r="S91" s="58"/>
    </row>
    <row r="92" spans="1:19" x14ac:dyDescent="0.25">
      <c r="A92" s="1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>L92*5</f>
        <v>5</v>
      </c>
      <c r="N92" s="37">
        <v>10</v>
      </c>
      <c r="O92" s="61" t="s">
        <v>587</v>
      </c>
      <c r="P92" s="38">
        <v>7.4800000000000005E-2</v>
      </c>
      <c r="Q92" s="38">
        <f>P92*N92</f>
        <v>0.748</v>
      </c>
      <c r="R92" s="37"/>
      <c r="S92" s="58"/>
    </row>
    <row r="93" spans="1:19" x14ac:dyDescent="0.25">
      <c r="A93" s="1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50">
        <f t="shared" ref="M93" si="79">L93*5</f>
        <v>5</v>
      </c>
      <c r="N93" s="50">
        <v>100</v>
      </c>
      <c r="O93" s="61" t="s">
        <v>587</v>
      </c>
      <c r="P93" s="51">
        <v>3.8999999999999998E-3</v>
      </c>
      <c r="Q93" s="51">
        <f t="shared" ref="Q93" si="80">P93*N93</f>
        <v>0.38999999999999996</v>
      </c>
      <c r="R93" s="50"/>
      <c r="S93" s="58"/>
    </row>
    <row r="94" spans="1:19" x14ac:dyDescent="0.25">
      <c r="A94" s="1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>L94*5</f>
        <v>20</v>
      </c>
      <c r="N94" s="37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x14ac:dyDescent="0.25">
      <c r="A95" s="1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50">
        <f t="shared" ref="M95" si="81">L95*5</f>
        <v>5</v>
      </c>
      <c r="N95" s="50">
        <v>20</v>
      </c>
      <c r="O95" s="61" t="s">
        <v>587</v>
      </c>
      <c r="P95" s="51">
        <v>2.3900000000000001E-2</v>
      </c>
      <c r="Q95" s="51">
        <f t="shared" ref="Q95" si="82">P95*N95</f>
        <v>0.47800000000000004</v>
      </c>
      <c r="R95" s="50"/>
      <c r="S95" s="58"/>
    </row>
    <row r="96" spans="1:19" x14ac:dyDescent="0.25">
      <c r="A96" s="1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>L96*5</f>
        <v>5</v>
      </c>
      <c r="N96" s="37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27" x14ac:dyDescent="0.25">
      <c r="A97" s="1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50">
        <f t="shared" ref="M97" si="83">L97*5</f>
        <v>5</v>
      </c>
      <c r="N97" s="50">
        <v>100</v>
      </c>
      <c r="O97" s="61" t="s">
        <v>587</v>
      </c>
      <c r="P97" s="51">
        <v>1.2999999999999999E-3</v>
      </c>
      <c r="Q97" s="51">
        <f t="shared" ref="Q97" si="84">P97*N97</f>
        <v>0.13</v>
      </c>
      <c r="R97" s="50"/>
      <c r="S97" s="58"/>
    </row>
    <row r="98" spans="1:27" x14ac:dyDescent="0.25">
      <c r="A98" s="1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>L98*5</f>
        <v>15</v>
      </c>
      <c r="N98" s="37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27" x14ac:dyDescent="0.25">
      <c r="A99" s="1"/>
      <c r="B99" s="47">
        <f t="shared" si="0"/>
        <v>90</v>
      </c>
      <c r="C99" s="53" t="s">
        <v>29</v>
      </c>
      <c r="D99" s="66" t="s">
        <v>658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6</v>
      </c>
      <c r="M99" s="66">
        <f t="shared" ref="M99" si="85">L99*5</f>
        <v>30</v>
      </c>
      <c r="N99" s="66" t="s">
        <v>588</v>
      </c>
      <c r="O99" s="66" t="s">
        <v>588</v>
      </c>
      <c r="P99" s="66" t="s">
        <v>588</v>
      </c>
      <c r="Q99" s="66" t="s">
        <v>588</v>
      </c>
      <c r="R99" s="66"/>
      <c r="S99" s="67"/>
    </row>
    <row r="100" spans="1:27" ht="36" x14ac:dyDescent="0.25">
      <c r="A100" s="1"/>
      <c r="B100" s="46">
        <f>ROW(B100) - ROW($B$9)</f>
        <v>91</v>
      </c>
      <c r="C100" s="52" t="s">
        <v>30</v>
      </c>
      <c r="D100" s="62" t="s">
        <v>119</v>
      </c>
      <c r="E100" s="37" t="s">
        <v>641</v>
      </c>
      <c r="F100" s="37" t="s">
        <v>582</v>
      </c>
      <c r="G100" s="37" t="s">
        <v>634</v>
      </c>
      <c r="H100" s="37" t="s">
        <v>642</v>
      </c>
      <c r="I100" s="37" t="s">
        <v>588</v>
      </c>
      <c r="J100" s="37" t="s">
        <v>643</v>
      </c>
      <c r="K100" s="37" t="s">
        <v>588</v>
      </c>
      <c r="L100" s="37">
        <v>1</v>
      </c>
      <c r="M100" s="37">
        <f>L100*5</f>
        <v>5</v>
      </c>
      <c r="N100" s="37">
        <v>10</v>
      </c>
      <c r="O100" s="61" t="s">
        <v>587</v>
      </c>
      <c r="P100" s="38">
        <v>5.5500000000000001E-2</v>
      </c>
      <c r="Q100" s="38">
        <f>P100*N100</f>
        <v>0.55500000000000005</v>
      </c>
      <c r="R100" s="37"/>
      <c r="S100" s="58"/>
    </row>
    <row r="101" spans="1:27" ht="36" x14ac:dyDescent="0.25">
      <c r="A101" s="1"/>
      <c r="B101" s="47">
        <f t="shared" si="0"/>
        <v>92</v>
      </c>
      <c r="C101" s="53" t="s">
        <v>30</v>
      </c>
      <c r="D101" s="64" t="s">
        <v>120</v>
      </c>
      <c r="E101" s="50" t="s">
        <v>644</v>
      </c>
      <c r="F101" s="50" t="s">
        <v>582</v>
      </c>
      <c r="G101" s="50" t="s">
        <v>635</v>
      </c>
      <c r="H101" s="50" t="s">
        <v>645</v>
      </c>
      <c r="I101" s="50"/>
      <c r="J101" s="50" t="s">
        <v>646</v>
      </c>
      <c r="K101" s="50" t="s">
        <v>588</v>
      </c>
      <c r="L101" s="50">
        <v>1</v>
      </c>
      <c r="M101" s="50">
        <f t="shared" ref="M101" si="86">L101*5</f>
        <v>5</v>
      </c>
      <c r="N101" s="50">
        <v>10</v>
      </c>
      <c r="O101" s="61" t="s">
        <v>587</v>
      </c>
      <c r="P101" s="51">
        <v>6.2399999999999997E-2</v>
      </c>
      <c r="Q101" s="51">
        <f t="shared" ref="Q101" si="87">P101*N101</f>
        <v>0.624</v>
      </c>
      <c r="R101" s="50"/>
      <c r="S101" s="58"/>
    </row>
    <row r="102" spans="1:27" ht="24" x14ac:dyDescent="0.25">
      <c r="A102" s="1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>L102*5</f>
        <v>5</v>
      </c>
      <c r="N102" s="37">
        <v>6</v>
      </c>
      <c r="O102" s="61" t="s">
        <v>587</v>
      </c>
      <c r="P102" s="38">
        <v>0.2354</v>
      </c>
      <c r="Q102" s="38">
        <f>P102*N102</f>
        <v>1.4123999999999999</v>
      </c>
      <c r="R102" s="37"/>
      <c r="S102" s="58"/>
    </row>
    <row r="103" spans="1:27" ht="48" x14ac:dyDescent="0.25">
      <c r="A103" s="1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50">
        <f t="shared" ref="M103" si="88">L103*5</f>
        <v>5</v>
      </c>
      <c r="N103" s="50">
        <v>10</v>
      </c>
      <c r="O103" s="61" t="s">
        <v>587</v>
      </c>
      <c r="P103" s="51">
        <v>8.9099999999999999E-2</v>
      </c>
      <c r="Q103" s="51">
        <f t="shared" ref="Q103" si="89">P103*N103</f>
        <v>0.89100000000000001</v>
      </c>
      <c r="R103" s="50"/>
      <c r="S103" s="58"/>
    </row>
    <row r="104" spans="1:27" ht="48" x14ac:dyDescent="0.25">
      <c r="A104" s="1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>L104*5</f>
        <v>5</v>
      </c>
      <c r="N104" s="37">
        <v>10</v>
      </c>
      <c r="O104" s="61" t="s">
        <v>587</v>
      </c>
      <c r="P104" s="38">
        <v>0.1041</v>
      </c>
      <c r="Q104" s="38">
        <f>P104*N104</f>
        <v>1.0409999999999999</v>
      </c>
      <c r="R104" s="37"/>
      <c r="S104" s="58"/>
    </row>
    <row r="105" spans="1:27" ht="36" x14ac:dyDescent="0.25">
      <c r="A105" s="1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50">
        <f t="shared" ref="M105" si="90">L105*5</f>
        <v>5</v>
      </c>
      <c r="N105" s="50">
        <v>10</v>
      </c>
      <c r="O105" s="61" t="s">
        <v>587</v>
      </c>
      <c r="P105" s="51">
        <v>7.2400000000000006E-2</v>
      </c>
      <c r="Q105" s="51">
        <f t="shared" ref="Q105" si="91">P105*N105</f>
        <v>0.72400000000000009</v>
      </c>
      <c r="R105" s="50"/>
      <c r="S105" s="58"/>
    </row>
    <row r="106" spans="1:27" x14ac:dyDescent="0.25">
      <c r="A106" s="1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>L106*5</f>
        <v>5</v>
      </c>
      <c r="N106" s="37">
        <v>10</v>
      </c>
      <c r="O106" s="61" t="s">
        <v>587</v>
      </c>
      <c r="P106" s="38">
        <v>0.17230000000000001</v>
      </c>
      <c r="Q106" s="38">
        <f>P106*N106</f>
        <v>1.7230000000000001</v>
      </c>
      <c r="R106" s="37"/>
      <c r="S106" s="58"/>
    </row>
    <row r="107" spans="1:27" ht="30" x14ac:dyDescent="0.25">
      <c r="A107" s="1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588</v>
      </c>
      <c r="K107" s="50"/>
      <c r="L107" s="50">
        <v>1</v>
      </c>
      <c r="M107" s="50">
        <f t="shared" ref="M107" si="92">L107*5</f>
        <v>5</v>
      </c>
      <c r="N107" s="50">
        <v>6</v>
      </c>
      <c r="O107" s="61" t="s">
        <v>622</v>
      </c>
      <c r="P107" s="51">
        <v>31.28</v>
      </c>
      <c r="Q107" s="51">
        <f t="shared" ref="Q107" si="93">P107*N107</f>
        <v>187.68</v>
      </c>
      <c r="R107" s="50"/>
      <c r="S107" s="58"/>
    </row>
    <row r="108" spans="1:27" ht="36" x14ac:dyDescent="0.25">
      <c r="A108" s="1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>L108*5</f>
        <v>5</v>
      </c>
      <c r="N108" s="37">
        <v>10</v>
      </c>
      <c r="O108" s="61" t="s">
        <v>587</v>
      </c>
      <c r="P108" s="38">
        <v>8.5500000000000007E-2</v>
      </c>
      <c r="Q108" s="38">
        <f>P108*N108</f>
        <v>0.85500000000000009</v>
      </c>
      <c r="R108" s="37"/>
      <c r="S108" s="58"/>
    </row>
    <row r="109" spans="1:27" s="60" customFormat="1" ht="30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50">
        <f t="shared" ref="M109" si="94">L109*5</f>
        <v>5</v>
      </c>
      <c r="N109" s="50">
        <v>6</v>
      </c>
      <c r="O109" s="61" t="s">
        <v>622</v>
      </c>
      <c r="P109" s="51">
        <v>6.7164999999999999</v>
      </c>
      <c r="Q109" s="51">
        <f t="shared" ref="Q109" si="95">P109*N109</f>
        <v>40.298999999999999</v>
      </c>
      <c r="R109" s="50"/>
      <c r="S109" s="58"/>
      <c r="U109"/>
      <c r="V109"/>
      <c r="W109"/>
      <c r="X109"/>
      <c r="Y109"/>
      <c r="Z109"/>
      <c r="AA109"/>
    </row>
    <row r="110" spans="1:27" ht="36" x14ac:dyDescent="0.25">
      <c r="A110" s="1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>L110*5</f>
        <v>5</v>
      </c>
      <c r="N110" s="37">
        <v>6</v>
      </c>
      <c r="O110" s="61" t="s">
        <v>622</v>
      </c>
      <c r="P110" s="38">
        <v>10.1</v>
      </c>
      <c r="Q110" s="38">
        <f>P110*N110</f>
        <v>60.599999999999994</v>
      </c>
      <c r="R110" s="63"/>
      <c r="S110" s="58"/>
    </row>
    <row r="111" spans="1:27" x14ac:dyDescent="0.25">
      <c r="A111" s="1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50">
        <f t="shared" ref="M111" si="96">L111*5</f>
        <v>5</v>
      </c>
      <c r="N111" s="50">
        <v>6</v>
      </c>
      <c r="O111" s="61" t="s">
        <v>587</v>
      </c>
      <c r="P111" s="51">
        <v>6.6310000000000002</v>
      </c>
      <c r="Q111" s="51">
        <f t="shared" ref="Q111" si="97">P111*N111</f>
        <v>39.786000000000001</v>
      </c>
      <c r="R111" s="50"/>
      <c r="S111" s="58"/>
    </row>
    <row r="112" spans="1:27" x14ac:dyDescent="0.25">
      <c r="A112" s="1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50">
        <f t="shared" ref="M112" si="98">L112*5</f>
        <v>5</v>
      </c>
      <c r="N112" s="50">
        <v>6</v>
      </c>
      <c r="O112" s="61" t="s">
        <v>587</v>
      </c>
      <c r="P112" s="51">
        <v>0.5696</v>
      </c>
      <c r="Q112" s="51">
        <f t="shared" ref="Q112" si="99">P112*N112</f>
        <v>3.4176000000000002</v>
      </c>
      <c r="R112" s="50"/>
      <c r="S112" s="58"/>
    </row>
    <row r="113" spans="1:19" x14ac:dyDescent="0.25">
      <c r="A113" s="1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>L113*5</f>
        <v>5</v>
      </c>
      <c r="N113" s="37">
        <v>6</v>
      </c>
      <c r="O113" s="61" t="s">
        <v>587</v>
      </c>
      <c r="P113" s="38">
        <v>0.35849999999999999</v>
      </c>
      <c r="Q113" s="38">
        <f>P113*N113</f>
        <v>2.1509999999999998</v>
      </c>
      <c r="R113" s="37"/>
      <c r="S113" s="58"/>
    </row>
    <row r="114" spans="1:19" x14ac:dyDescent="0.25">
      <c r="A114" s="1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50">
        <f t="shared" ref="M114" si="100">L114*5</f>
        <v>5</v>
      </c>
      <c r="N114" s="50">
        <v>6</v>
      </c>
      <c r="O114" s="61" t="s">
        <v>587</v>
      </c>
      <c r="P114" s="51">
        <v>4.1794000000000002</v>
      </c>
      <c r="Q114" s="51">
        <f t="shared" ref="Q114" si="101">P114*N114</f>
        <v>25.0764</v>
      </c>
      <c r="R114" s="50"/>
      <c r="S114" s="58"/>
    </row>
    <row r="115" spans="1:19" x14ac:dyDescent="0.25">
      <c r="A115" s="1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50">
        <f t="shared" ref="M115" si="102">L115*5</f>
        <v>5</v>
      </c>
      <c r="N115" s="50">
        <v>6</v>
      </c>
      <c r="O115" s="61" t="s">
        <v>587</v>
      </c>
      <c r="P115" s="51">
        <v>5.1132</v>
      </c>
      <c r="Q115" s="51">
        <f t="shared" ref="Q115" si="103">P115*N115</f>
        <v>30.679200000000002</v>
      </c>
      <c r="R115" s="50"/>
      <c r="S115" s="58"/>
    </row>
    <row r="116" spans="1:19" x14ac:dyDescent="0.25">
      <c r="A116" s="1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>L116*5</f>
        <v>5</v>
      </c>
      <c r="N116" s="37">
        <v>6</v>
      </c>
      <c r="O116" s="61" t="s">
        <v>587</v>
      </c>
      <c r="P116" s="38">
        <v>1.8374999999999999</v>
      </c>
      <c r="Q116" s="38">
        <f>P116*N116</f>
        <v>11.024999999999999</v>
      </c>
      <c r="R116" s="37"/>
      <c r="S116" s="58"/>
    </row>
    <row r="117" spans="1:19" x14ac:dyDescent="0.25">
      <c r="A117" s="1"/>
      <c r="B117" s="47">
        <f t="shared" si="0"/>
        <v>108</v>
      </c>
      <c r="C117" s="53" t="s">
        <v>31</v>
      </c>
      <c r="D117" s="64" t="s">
        <v>135</v>
      </c>
      <c r="E117" s="50" t="s">
        <v>623</v>
      </c>
      <c r="F117" s="50" t="s">
        <v>647</v>
      </c>
      <c r="G117" s="50" t="s">
        <v>624</v>
      </c>
      <c r="H117" s="50" t="s">
        <v>421</v>
      </c>
      <c r="I117" s="37" t="s">
        <v>588</v>
      </c>
      <c r="J117" s="50" t="s">
        <v>625</v>
      </c>
      <c r="K117" s="50"/>
      <c r="L117" s="50">
        <v>1</v>
      </c>
      <c r="M117" s="50">
        <f t="shared" ref="M117" si="104">L117*5</f>
        <v>5</v>
      </c>
      <c r="N117" s="50">
        <v>6</v>
      </c>
      <c r="O117" s="61" t="s">
        <v>587</v>
      </c>
      <c r="P117" s="51">
        <v>2.1238999999999999</v>
      </c>
      <c r="Q117" s="51">
        <f t="shared" ref="Q117" si="105">P117*N117</f>
        <v>12.743399999999999</v>
      </c>
      <c r="R117" s="50"/>
      <c r="S117" s="58"/>
    </row>
    <row r="118" spans="1:19" x14ac:dyDescent="0.25">
      <c r="A118" s="1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>L118*5</f>
        <v>5</v>
      </c>
      <c r="N118" s="37">
        <v>6</v>
      </c>
      <c r="O118" s="61" t="s">
        <v>587</v>
      </c>
      <c r="P118" s="38">
        <v>0.54790000000000005</v>
      </c>
      <c r="Q118" s="38">
        <f>P118*N118</f>
        <v>3.2874000000000003</v>
      </c>
      <c r="R118" s="37"/>
      <c r="S118" s="58"/>
    </row>
    <row r="119" spans="1:19" ht="24" x14ac:dyDescent="0.25">
      <c r="A119" s="1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50">
        <f t="shared" ref="M119" si="106">L119*5</f>
        <v>5</v>
      </c>
      <c r="N119" s="50">
        <v>6</v>
      </c>
      <c r="O119" s="61" t="s">
        <v>587</v>
      </c>
      <c r="P119" s="51">
        <v>0.64910000000000001</v>
      </c>
      <c r="Q119" s="51">
        <f t="shared" ref="Q119" si="107">P119*N119</f>
        <v>3.8946000000000001</v>
      </c>
      <c r="R119" s="50"/>
      <c r="S119" s="58"/>
    </row>
    <row r="120" spans="1:19" x14ac:dyDescent="0.25">
      <c r="A120" s="1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>L120*5</f>
        <v>5</v>
      </c>
      <c r="N120" s="37">
        <v>6</v>
      </c>
      <c r="O120" s="61" t="s">
        <v>587</v>
      </c>
      <c r="P120" s="38">
        <v>2.5996000000000001</v>
      </c>
      <c r="Q120" s="38">
        <f>P120*N120</f>
        <v>15.5976</v>
      </c>
      <c r="R120" s="37"/>
      <c r="S120" s="58"/>
    </row>
    <row r="121" spans="1:19" ht="24" x14ac:dyDescent="0.25">
      <c r="A121" s="1"/>
      <c r="B121" s="47">
        <f t="shared" si="0"/>
        <v>112</v>
      </c>
      <c r="C121" s="52" t="s">
        <v>37</v>
      </c>
      <c r="D121" s="50" t="s">
        <v>139</v>
      </c>
      <c r="E121" s="50" t="s">
        <v>626</v>
      </c>
      <c r="F121" s="50" t="s">
        <v>582</v>
      </c>
      <c r="G121" s="50" t="s">
        <v>629</v>
      </c>
      <c r="H121" s="50" t="s">
        <v>628</v>
      </c>
      <c r="I121" s="50" t="s">
        <v>588</v>
      </c>
      <c r="J121" s="50" t="s">
        <v>627</v>
      </c>
      <c r="K121" s="50" t="s">
        <v>630</v>
      </c>
      <c r="L121" s="50">
        <v>1</v>
      </c>
      <c r="M121" s="50">
        <f t="shared" ref="M121" si="108">L121*5</f>
        <v>5</v>
      </c>
      <c r="N121" s="50">
        <v>10</v>
      </c>
      <c r="O121" s="61" t="s">
        <v>587</v>
      </c>
      <c r="P121" s="51">
        <v>0.26279999999999998</v>
      </c>
      <c r="Q121" s="51">
        <f t="shared" ref="Q121" si="109">P121*N121</f>
        <v>2.6279999999999997</v>
      </c>
      <c r="R121" s="50"/>
      <c r="S121" s="58"/>
    </row>
    <row r="122" spans="1:19" ht="24" x14ac:dyDescent="0.25">
      <c r="A122" s="1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>L122*5</f>
        <v>5</v>
      </c>
      <c r="N122" s="37">
        <v>10</v>
      </c>
      <c r="O122" s="61" t="s">
        <v>587</v>
      </c>
      <c r="P122" s="38">
        <v>0.18029999999999999</v>
      </c>
      <c r="Q122" s="38">
        <f>P122*N122</f>
        <v>1.8029999999999999</v>
      </c>
      <c r="R122" s="37"/>
      <c r="S122" s="58"/>
    </row>
    <row r="123" spans="1:19" ht="15.75" thickBot="1" x14ac:dyDescent="0.3">
      <c r="A123" s="1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50">
        <f t="shared" ref="M123:M126" si="110">L123*5</f>
        <v>5</v>
      </c>
      <c r="N123" s="50">
        <v>10</v>
      </c>
      <c r="O123" s="61" t="s">
        <v>587</v>
      </c>
      <c r="P123" s="51">
        <v>0.26590000000000003</v>
      </c>
      <c r="Q123" s="51">
        <f t="shared" ref="Q123:Q124" si="111">P123*N123</f>
        <v>2.6590000000000003</v>
      </c>
      <c r="R123" s="50"/>
      <c r="S123" s="39"/>
    </row>
    <row r="124" spans="1:19" ht="48.75" thickBot="1" x14ac:dyDescent="0.3">
      <c r="A124" s="1"/>
      <c r="B124" s="47">
        <f t="shared" si="0"/>
        <v>115</v>
      </c>
      <c r="C124" s="53" t="s">
        <v>614</v>
      </c>
      <c r="D124" s="50" t="s">
        <v>588</v>
      </c>
      <c r="E124" s="50" t="s">
        <v>648</v>
      </c>
      <c r="F124" s="50" t="s">
        <v>588</v>
      </c>
      <c r="G124" s="50" t="s">
        <v>615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50">
        <f t="shared" si="110"/>
        <v>5</v>
      </c>
      <c r="N124" s="50">
        <v>8</v>
      </c>
      <c r="O124" s="61" t="s">
        <v>619</v>
      </c>
      <c r="P124" s="51">
        <v>2.5</v>
      </c>
      <c r="Q124" s="51">
        <f t="shared" si="111"/>
        <v>20</v>
      </c>
      <c r="R124" s="50"/>
      <c r="S124" s="39"/>
    </row>
    <row r="125" spans="1:19" ht="24.75" thickBot="1" x14ac:dyDescent="0.3">
      <c r="A125" s="1"/>
      <c r="B125" s="47">
        <f t="shared" ref="B125:B126" si="112">ROW(B125) - ROW($B$9)</f>
        <v>116</v>
      </c>
      <c r="C125" s="53" t="s">
        <v>614</v>
      </c>
      <c r="D125" s="50" t="s">
        <v>588</v>
      </c>
      <c r="E125" s="50" t="s">
        <v>618</v>
      </c>
      <c r="F125" s="50" t="s">
        <v>588</v>
      </c>
      <c r="G125" s="50" t="s">
        <v>616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50">
        <f t="shared" si="110"/>
        <v>5</v>
      </c>
      <c r="N125" s="50">
        <v>6</v>
      </c>
      <c r="O125" s="61"/>
      <c r="P125" s="51"/>
      <c r="Q125" s="51"/>
      <c r="R125" s="65" t="s">
        <v>649</v>
      </c>
      <c r="S125" s="39"/>
    </row>
    <row r="126" spans="1:19" ht="24.75" thickBot="1" x14ac:dyDescent="0.3">
      <c r="A126" s="1"/>
      <c r="B126" s="47">
        <f t="shared" si="112"/>
        <v>117</v>
      </c>
      <c r="C126" s="53" t="s">
        <v>614</v>
      </c>
      <c r="D126" s="50" t="s">
        <v>588</v>
      </c>
      <c r="E126" s="50" t="s">
        <v>618</v>
      </c>
      <c r="F126" s="50" t="s">
        <v>588</v>
      </c>
      <c r="G126" s="50" t="s">
        <v>617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50">
        <f t="shared" si="110"/>
        <v>5</v>
      </c>
      <c r="N126" s="50">
        <v>6</v>
      </c>
      <c r="O126" s="61"/>
      <c r="P126" s="51"/>
      <c r="Q126" s="51"/>
      <c r="R126" s="65" t="s">
        <v>649</v>
      </c>
      <c r="S126" s="39"/>
    </row>
    <row r="127" spans="1:19" ht="19.5" thickBot="1" x14ac:dyDescent="0.3">
      <c r="A127" s="1"/>
      <c r="B127" s="40"/>
      <c r="C127" s="41"/>
      <c r="D127" s="42"/>
      <c r="E127" s="43"/>
      <c r="F127" s="44"/>
      <c r="G127" s="45"/>
      <c r="H127" s="44"/>
      <c r="I127" s="45"/>
      <c r="J127" s="44"/>
      <c r="K127" s="45"/>
      <c r="L127" s="45"/>
      <c r="M127" s="45"/>
      <c r="N127" s="77" t="s">
        <v>5</v>
      </c>
      <c r="O127" s="78"/>
      <c r="P127" s="78"/>
      <c r="Q127" s="48">
        <f>SUM(Q11:Q126)</f>
        <v>560.17779999999982</v>
      </c>
      <c r="R127" s="73"/>
      <c r="S127" s="74"/>
    </row>
    <row r="128" spans="1:19" ht="19.5" thickBot="1" x14ac:dyDescent="0.3">
      <c r="A128" s="1"/>
      <c r="B128" s="25"/>
      <c r="C128" s="36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77" t="s">
        <v>6</v>
      </c>
      <c r="O128" s="78"/>
      <c r="P128" s="78"/>
      <c r="Q128" s="49">
        <f>Q127/5</f>
        <v>112.03555999999996</v>
      </c>
      <c r="R128" s="75"/>
      <c r="S128" s="76"/>
    </row>
  </sheetData>
  <mergeCells count="5">
    <mergeCell ref="K1:S1"/>
    <mergeCell ref="S3:S8"/>
    <mergeCell ref="R127:S128"/>
    <mergeCell ref="N127:P127"/>
    <mergeCell ref="N128:P128"/>
  </mergeCells>
  <hyperlinks>
    <hyperlink ref="O11" r:id="rId1"/>
    <hyperlink ref="O12" r:id="rId2"/>
    <hyperlink ref="O10" r:id="rId3"/>
    <hyperlink ref="O13" r:id="rId4"/>
    <hyperlink ref="O14" r:id="rId5"/>
    <hyperlink ref="O22" r:id="rId6"/>
    <hyperlink ref="O16" r:id="rId7"/>
    <hyperlink ref="O17" r:id="rId8"/>
    <hyperlink ref="O19" r:id="rId9"/>
    <hyperlink ref="O20" r:id="rId10"/>
    <hyperlink ref="O21" r:id="rId11"/>
    <hyperlink ref="O23" r:id="rId12"/>
    <hyperlink ref="O24" r:id="rId13"/>
    <hyperlink ref="O15" r:id="rId14"/>
    <hyperlink ref="O25" r:id="rId15"/>
    <hyperlink ref="O26" r:id="rId16"/>
    <hyperlink ref="O27" r:id="rId17"/>
    <hyperlink ref="O29" r:id="rId18"/>
    <hyperlink ref="O30" r:id="rId19"/>
    <hyperlink ref="O31" r:id="rId20"/>
    <hyperlink ref="O32" r:id="rId21"/>
    <hyperlink ref="O33" r:id="rId22"/>
    <hyperlink ref="O34" r:id="rId23"/>
    <hyperlink ref="O35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3" r:id="rId32"/>
    <hyperlink ref="O44" r:id="rId33"/>
    <hyperlink ref="O45" r:id="rId34"/>
    <hyperlink ref="O46" r:id="rId35"/>
    <hyperlink ref="O47" r:id="rId36"/>
    <hyperlink ref="O50" r:id="rId37"/>
    <hyperlink ref="O49" r:id="rId38"/>
    <hyperlink ref="O51" r:id="rId39"/>
    <hyperlink ref="O54" r:id="rId40"/>
    <hyperlink ref="O56" r:id="rId41"/>
    <hyperlink ref="O57" r:id="rId42"/>
    <hyperlink ref="O58" r:id="rId43"/>
    <hyperlink ref="O59" r:id="rId44"/>
    <hyperlink ref="O60" r:id="rId45"/>
    <hyperlink ref="O64" r:id="rId46"/>
    <hyperlink ref="O63" r:id="rId47"/>
    <hyperlink ref="O65" r:id="rId48"/>
    <hyperlink ref="O66" r:id="rId49"/>
    <hyperlink ref="O67" r:id="rId50"/>
    <hyperlink ref="O68" r:id="rId51"/>
    <hyperlink ref="O69" r:id="rId52"/>
    <hyperlink ref="O70" r:id="rId53"/>
    <hyperlink ref="O73" r:id="rId54"/>
    <hyperlink ref="O74" r:id="rId55"/>
    <hyperlink ref="O71" r:id="rId56"/>
    <hyperlink ref="O75" r:id="rId57"/>
    <hyperlink ref="O76" r:id="rId58"/>
    <hyperlink ref="O77" r:id="rId59"/>
    <hyperlink ref="O78" r:id="rId60"/>
    <hyperlink ref="O79" r:id="rId61"/>
    <hyperlink ref="O80" r:id="rId62"/>
    <hyperlink ref="O81" r:id="rId63"/>
    <hyperlink ref="O82" r:id="rId64"/>
    <hyperlink ref="O83" r:id="rId65"/>
    <hyperlink ref="O85" r:id="rId66"/>
    <hyperlink ref="O84" r:id="rId67"/>
    <hyperlink ref="O72" r:id="rId68"/>
    <hyperlink ref="O86" r:id="rId69"/>
    <hyperlink ref="O88" r:id="rId70"/>
    <hyperlink ref="O89" r:id="rId71"/>
    <hyperlink ref="O90" r:id="rId72"/>
    <hyperlink ref="O91" r:id="rId73"/>
    <hyperlink ref="O92" r:id="rId74"/>
    <hyperlink ref="O93" r:id="rId75"/>
    <hyperlink ref="O94" r:id="rId76"/>
    <hyperlink ref="O95" r:id="rId77"/>
    <hyperlink ref="O96" r:id="rId78"/>
    <hyperlink ref="O97" r:id="rId79"/>
    <hyperlink ref="O98" r:id="rId80"/>
    <hyperlink ref="O102" r:id="rId81"/>
    <hyperlink ref="O103" r:id="rId82"/>
    <hyperlink ref="O104" r:id="rId83"/>
    <hyperlink ref="O105" r:id="rId84"/>
    <hyperlink ref="O106" r:id="rId85"/>
    <hyperlink ref="O108" r:id="rId86"/>
    <hyperlink ref="O111" r:id="rId87"/>
    <hyperlink ref="O112" r:id="rId88"/>
    <hyperlink ref="O113" r:id="rId89"/>
    <hyperlink ref="O114" r:id="rId90"/>
    <hyperlink ref="O115" r:id="rId91"/>
    <hyperlink ref="O116" r:id="rId92"/>
    <hyperlink ref="O118" r:id="rId93"/>
    <hyperlink ref="O119" r:id="rId94"/>
    <hyperlink ref="O120" r:id="rId95"/>
    <hyperlink ref="O122" r:id="rId96"/>
    <hyperlink ref="O123" r:id="rId97"/>
    <hyperlink ref="O18" r:id="rId98"/>
    <hyperlink ref="O52" r:id="rId99"/>
    <hyperlink ref="O87" r:id="rId100"/>
    <hyperlink ref="O109" r:id="rId101"/>
    <hyperlink ref="O110" r:id="rId102"/>
    <hyperlink ref="O107" r:id="rId103"/>
    <hyperlink ref="O121" r:id="rId104"/>
    <hyperlink ref="O48" r:id="rId105"/>
    <hyperlink ref="O28" r:id="rId106"/>
    <hyperlink ref="O100" r:id="rId107"/>
    <hyperlink ref="O101" r:id="rId108"/>
    <hyperlink ref="O117" r:id="rId109"/>
    <hyperlink ref="O55" r:id="rId110"/>
    <hyperlink ref="O61" r:id="rId111"/>
    <hyperlink ref="O124" r:id="rId112"/>
  </hyperlinks>
  <pageMargins left="0.7" right="0.7" top="0.75" bottom="0.75" header="0.3" footer="0.3"/>
  <pageSetup paperSize="9" orientation="portrait" r:id="rId113"/>
  <drawing r:id="rId1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103" workbookViewId="0">
      <selection activeCell="L100" sqref="L100"/>
    </sheetView>
  </sheetViews>
  <sheetFormatPr defaultRowHeight="15" x14ac:dyDescent="0.25"/>
  <cols>
    <col min="1" max="1" width="4.7109375" customWidth="1"/>
    <col min="2" max="2" width="4" bestFit="1" customWidth="1"/>
    <col min="3" max="3" width="11.5703125" customWidth="1"/>
    <col min="4" max="4" width="31.140625" bestFit="1" customWidth="1"/>
    <col min="5" max="5" width="32.140625" customWidth="1"/>
    <col min="6" max="6" width="15.140625" customWidth="1"/>
    <col min="7" max="7" width="25.28515625" bestFit="1" customWidth="1"/>
    <col min="8" max="8" width="16.85546875" customWidth="1"/>
    <col min="9" max="9" width="21.5703125" bestFit="1" customWidth="1"/>
    <col min="10" max="10" width="17" bestFit="1" customWidth="1"/>
    <col min="11" max="11" width="9.85546875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5703125" customWidth="1"/>
    <col min="16" max="16" width="19.7109375" bestFit="1" customWidth="1"/>
    <col min="17" max="17" width="20.28515625" bestFit="1" customWidth="1"/>
    <col min="18" max="18" width="15.85546875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583</v>
      </c>
      <c r="N9" s="30" t="s">
        <v>584</v>
      </c>
      <c r="O9" s="30" t="s">
        <v>574</v>
      </c>
      <c r="P9" s="30" t="s">
        <v>585</v>
      </c>
      <c r="Q9" s="30" t="s">
        <v>586</v>
      </c>
      <c r="R9" s="30" t="s">
        <v>577</v>
      </c>
      <c r="S9" s="30" t="s">
        <v>578</v>
      </c>
    </row>
    <row r="10" spans="1:19" s="60" customFormat="1" ht="24" x14ac:dyDescent="0.25">
      <c r="A10" s="59"/>
      <c r="B10" s="46">
        <f>ROW(B10) - ROW($B$9)</f>
        <v>1</v>
      </c>
      <c r="C10" s="53" t="s">
        <v>9</v>
      </c>
      <c r="D10" s="37" t="s">
        <v>653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L10*10</f>
        <v>120</v>
      </c>
      <c r="N10" s="37">
        <v>140</v>
      </c>
      <c r="O10" s="61" t="s">
        <v>587</v>
      </c>
      <c r="P10" s="38">
        <v>2.53E-2</v>
      </c>
      <c r="Q10" s="38">
        <f>P10*N10</f>
        <v>3.5419999999999998</v>
      </c>
      <c r="R10" s="37"/>
      <c r="S10" s="58"/>
    </row>
    <row r="11" spans="1:19" s="60" customFormat="1" x14ac:dyDescent="0.25">
      <c r="A11" s="59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37">
        <f t="shared" ref="M11:M71" si="1">L11*10</f>
        <v>10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s="60" customFormat="1" ht="48" x14ac:dyDescent="0.25">
      <c r="A12" s="59"/>
      <c r="B12" s="47">
        <f>ROW(B12) - ROW($B$9)</f>
        <v>3</v>
      </c>
      <c r="C12" s="53" t="s">
        <v>9</v>
      </c>
      <c r="D12" s="37" t="s">
        <v>654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37">
        <f>L12*10</f>
        <v>290</v>
      </c>
      <c r="N12" s="50">
        <v>295</v>
      </c>
      <c r="O12" s="61" t="s">
        <v>587</v>
      </c>
      <c r="P12" s="51">
        <v>7.0599999999999996E-2</v>
      </c>
      <c r="Q12" s="51">
        <f>P12*N12</f>
        <v>20.826999999999998</v>
      </c>
      <c r="R12" s="50"/>
      <c r="S12" s="58"/>
    </row>
    <row r="13" spans="1:19" s="60" customFormat="1" x14ac:dyDescent="0.25">
      <c r="A13" s="59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37">
        <f t="shared" si="1"/>
        <v>10</v>
      </c>
      <c r="N13" s="50">
        <v>15</v>
      </c>
      <c r="O13" s="61" t="s">
        <v>587</v>
      </c>
      <c r="P13" s="51">
        <v>0.26129999999999998</v>
      </c>
      <c r="Q13" s="51">
        <f t="shared" ref="Q13" si="3">P13*N13</f>
        <v>3.9194999999999998</v>
      </c>
      <c r="R13" s="50"/>
      <c r="S13" s="58"/>
    </row>
    <row r="14" spans="1:19" s="60" customFormat="1" ht="36" x14ac:dyDescent="0.25">
      <c r="A14" s="59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 t="shared" si="1"/>
        <v>20</v>
      </c>
      <c r="N14" s="37">
        <v>30</v>
      </c>
      <c r="O14" s="61" t="s">
        <v>587</v>
      </c>
      <c r="P14" s="38">
        <v>4.9399999999999999E-2</v>
      </c>
      <c r="Q14" s="38">
        <f>P14*N14</f>
        <v>1.482</v>
      </c>
      <c r="R14" s="37"/>
      <c r="S14" s="58"/>
    </row>
    <row r="15" spans="1:19" s="60" customFormat="1" x14ac:dyDescent="0.25">
      <c r="A15" s="59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37">
        <f t="shared" si="1"/>
        <v>10</v>
      </c>
      <c r="N15" s="50">
        <v>15</v>
      </c>
      <c r="O15" s="61" t="s">
        <v>587</v>
      </c>
      <c r="P15" s="51">
        <v>0.20349999999999999</v>
      </c>
      <c r="Q15" s="51">
        <f t="shared" ref="Q15" si="4">P15*N15</f>
        <v>3.0524999999999998</v>
      </c>
      <c r="R15" s="50"/>
      <c r="S15" s="58"/>
    </row>
    <row r="16" spans="1:19" s="60" customFormat="1" x14ac:dyDescent="0.25">
      <c r="A16" s="59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 t="shared" si="1"/>
        <v>10</v>
      </c>
      <c r="N16" s="50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s="60" customFormat="1" x14ac:dyDescent="0.25">
      <c r="A17" s="59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37">
        <f t="shared" si="1"/>
        <v>30</v>
      </c>
      <c r="N17" s="37">
        <v>100</v>
      </c>
      <c r="O17" s="61" t="s">
        <v>587</v>
      </c>
      <c r="P17" s="51">
        <v>1.4999999999999999E-2</v>
      </c>
      <c r="Q17" s="51">
        <f t="shared" ref="Q17" si="5">P17*N17</f>
        <v>1.5</v>
      </c>
      <c r="R17" s="50"/>
      <c r="S17" s="58"/>
    </row>
    <row r="18" spans="1:19" s="60" customFormat="1" x14ac:dyDescent="0.25">
      <c r="A18" s="59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610</v>
      </c>
      <c r="J18" s="37" t="s">
        <v>611</v>
      </c>
      <c r="K18" s="37" t="s">
        <v>528</v>
      </c>
      <c r="L18" s="37">
        <v>2</v>
      </c>
      <c r="M18" s="37">
        <f t="shared" si="1"/>
        <v>20</v>
      </c>
      <c r="N18" s="50">
        <v>50</v>
      </c>
      <c r="O18" s="61" t="s">
        <v>587</v>
      </c>
      <c r="P18" s="38">
        <v>1.1000000000000001E-3</v>
      </c>
      <c r="Q18" s="38">
        <f>P18*N18</f>
        <v>5.5E-2</v>
      </c>
      <c r="R18" s="37"/>
      <c r="S18" s="58"/>
    </row>
    <row r="19" spans="1:19" s="60" customFormat="1" x14ac:dyDescent="0.25">
      <c r="A19" s="59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37">
        <f t="shared" si="1"/>
        <v>20</v>
      </c>
      <c r="N19" s="37">
        <v>100</v>
      </c>
      <c r="O19" s="61" t="s">
        <v>587</v>
      </c>
      <c r="P19" s="51">
        <v>3.0000000000000001E-3</v>
      </c>
      <c r="Q19" s="51">
        <f t="shared" ref="Q19" si="6">P19*N19</f>
        <v>0.3</v>
      </c>
      <c r="R19" s="50"/>
      <c r="S19" s="58"/>
    </row>
    <row r="20" spans="1:19" s="60" customFormat="1" ht="36" x14ac:dyDescent="0.25">
      <c r="A20" s="59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 t="shared" si="1"/>
        <v>10</v>
      </c>
      <c r="N20" s="50">
        <v>100</v>
      </c>
      <c r="O20" s="61" t="s">
        <v>587</v>
      </c>
      <c r="P20" s="38">
        <v>7.0900000000000005E-2</v>
      </c>
      <c r="Q20" s="38">
        <f>P20*N20</f>
        <v>7.0900000000000007</v>
      </c>
      <c r="R20" s="37"/>
      <c r="S20" s="58"/>
    </row>
    <row r="21" spans="1:19" s="60" customFormat="1" x14ac:dyDescent="0.25">
      <c r="A21" s="59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37">
        <f t="shared" si="1"/>
        <v>10</v>
      </c>
      <c r="N21" s="37">
        <v>20</v>
      </c>
      <c r="O21" s="61" t="s">
        <v>587</v>
      </c>
      <c r="P21" s="51">
        <v>2.87E-2</v>
      </c>
      <c r="Q21" s="51">
        <f t="shared" ref="Q21" si="7">P21*N21</f>
        <v>0.57399999999999995</v>
      </c>
      <c r="R21" s="50"/>
      <c r="S21" s="58"/>
    </row>
    <row r="22" spans="1:19" s="60" customFormat="1" x14ac:dyDescent="0.25">
      <c r="A22" s="59"/>
      <c r="B22" s="46">
        <f>ROW(B22) - ROW($B$9)</f>
        <v>13</v>
      </c>
      <c r="C22" s="53" t="s">
        <v>9</v>
      </c>
      <c r="D22" s="50" t="s">
        <v>631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 t="shared" si="1"/>
        <v>10</v>
      </c>
      <c r="N22" s="50">
        <v>20</v>
      </c>
      <c r="O22" s="61" t="s">
        <v>587</v>
      </c>
      <c r="P22" s="38">
        <v>2.3999999999999998E-3</v>
      </c>
      <c r="Q22" s="38">
        <f>P22*N22</f>
        <v>4.7999999999999994E-2</v>
      </c>
      <c r="R22" s="37"/>
      <c r="S22" s="58"/>
    </row>
    <row r="23" spans="1:19" s="60" customFormat="1" x14ac:dyDescent="0.25">
      <c r="A23" s="59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 t="shared" si="1"/>
        <v>10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s="60" customFormat="1" x14ac:dyDescent="0.25">
      <c r="A24" s="59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37">
        <f t="shared" si="1"/>
        <v>10</v>
      </c>
      <c r="N24" s="50">
        <v>50</v>
      </c>
      <c r="O24" s="61" t="s">
        <v>587</v>
      </c>
      <c r="P24" s="51">
        <v>1.23E-2</v>
      </c>
      <c r="Q24" s="51">
        <f t="shared" ref="Q24" si="8">P24*N24</f>
        <v>0.61499999999999999</v>
      </c>
      <c r="R24" s="50"/>
      <c r="S24" s="58"/>
    </row>
    <row r="25" spans="1:19" s="60" customFormat="1" x14ac:dyDescent="0.25">
      <c r="A25" s="59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 t="shared" si="1"/>
        <v>20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s="60" customFormat="1" x14ac:dyDescent="0.25">
      <c r="A26" s="59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37">
        <f t="shared" si="1"/>
        <v>10</v>
      </c>
      <c r="N26" s="50">
        <v>100</v>
      </c>
      <c r="O26" s="61" t="s">
        <v>587</v>
      </c>
      <c r="P26" s="51">
        <v>3.2000000000000002E-3</v>
      </c>
      <c r="Q26" s="51">
        <f t="shared" ref="Q26" si="9">P26*N26</f>
        <v>0.32</v>
      </c>
      <c r="R26" s="50"/>
      <c r="S26" s="58"/>
    </row>
    <row r="27" spans="1:19" s="60" customFormat="1" x14ac:dyDescent="0.25">
      <c r="A27" s="59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 t="shared" si="1"/>
        <v>20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s="60" customFormat="1" ht="36" x14ac:dyDescent="0.25">
      <c r="A28" s="59"/>
      <c r="B28" s="47">
        <f t="shared" si="0"/>
        <v>19</v>
      </c>
      <c r="C28" s="53" t="s">
        <v>9</v>
      </c>
      <c r="D28" s="64" t="s">
        <v>54</v>
      </c>
      <c r="E28" s="50" t="s">
        <v>638</v>
      </c>
      <c r="F28" s="50" t="s">
        <v>582</v>
      </c>
      <c r="G28" s="50" t="s">
        <v>632</v>
      </c>
      <c r="H28" s="50" t="s">
        <v>639</v>
      </c>
      <c r="I28" s="50" t="s">
        <v>588</v>
      </c>
      <c r="J28" s="50" t="s">
        <v>640</v>
      </c>
      <c r="K28" s="50" t="s">
        <v>534</v>
      </c>
      <c r="L28" s="50">
        <v>1</v>
      </c>
      <c r="M28" s="37">
        <f t="shared" si="1"/>
        <v>10</v>
      </c>
      <c r="N28" s="50">
        <v>20</v>
      </c>
      <c r="O28" s="61" t="s">
        <v>587</v>
      </c>
      <c r="P28" s="51">
        <v>1.7399999999999999E-2</v>
      </c>
      <c r="Q28" s="51">
        <f t="shared" ref="Q28" si="10">P28*N28</f>
        <v>0.34799999999999998</v>
      </c>
      <c r="R28" s="50"/>
      <c r="S28" s="58"/>
    </row>
    <row r="29" spans="1:19" s="60" customFormat="1" x14ac:dyDescent="0.25">
      <c r="A29" s="59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 t="shared" si="1"/>
        <v>20</v>
      </c>
      <c r="N29" s="37">
        <v>30</v>
      </c>
      <c r="O29" s="61" t="s">
        <v>587</v>
      </c>
      <c r="P29" s="38">
        <v>6.4199999999999993E-2</v>
      </c>
      <c r="Q29" s="38">
        <f>P29*N29</f>
        <v>1.9259999999999997</v>
      </c>
      <c r="R29" s="37"/>
      <c r="S29" s="58"/>
    </row>
    <row r="30" spans="1:19" s="60" customFormat="1" x14ac:dyDescent="0.25">
      <c r="A30" s="59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37">
        <f t="shared" si="1"/>
        <v>20</v>
      </c>
      <c r="N30" s="50">
        <v>25</v>
      </c>
      <c r="O30" s="61" t="s">
        <v>587</v>
      </c>
      <c r="P30" s="51">
        <v>0.1552</v>
      </c>
      <c r="Q30" s="51">
        <f t="shared" ref="Q30" si="11">P30*N30</f>
        <v>3.88</v>
      </c>
      <c r="R30" s="50"/>
      <c r="S30" s="58"/>
    </row>
    <row r="31" spans="1:19" s="60" customFormat="1" x14ac:dyDescent="0.25">
      <c r="A31" s="59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 t="shared" si="1"/>
        <v>30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s="60" customFormat="1" x14ac:dyDescent="0.25">
      <c r="A32" s="59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37">
        <f t="shared" si="1"/>
        <v>10</v>
      </c>
      <c r="N32" s="50">
        <v>11</v>
      </c>
      <c r="O32" s="61" t="s">
        <v>587</v>
      </c>
      <c r="P32" s="51">
        <v>1.5511999999999999</v>
      </c>
      <c r="Q32" s="51">
        <f t="shared" ref="Q32" si="12">P32*N32</f>
        <v>17.063199999999998</v>
      </c>
      <c r="R32" s="50"/>
      <c r="S32" s="58"/>
    </row>
    <row r="33" spans="1:19" s="60" customFormat="1" x14ac:dyDescent="0.25">
      <c r="A33" s="59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 t="shared" si="1"/>
        <v>10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s="60" customFormat="1" ht="24" x14ac:dyDescent="0.25">
      <c r="A34" s="59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37">
        <f t="shared" si="1"/>
        <v>10</v>
      </c>
      <c r="N34" s="50">
        <v>15</v>
      </c>
      <c r="O34" s="61" t="s">
        <v>587</v>
      </c>
      <c r="P34" s="51">
        <v>8.6499999999999994E-2</v>
      </c>
      <c r="Q34" s="51">
        <f t="shared" ref="Q34" si="13">P34*N34</f>
        <v>1.2974999999999999</v>
      </c>
      <c r="R34" s="50"/>
      <c r="S34" s="58"/>
    </row>
    <row r="35" spans="1:19" s="60" customFormat="1" ht="24" x14ac:dyDescent="0.25">
      <c r="A35" s="59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 t="shared" si="1"/>
        <v>10</v>
      </c>
      <c r="N35" s="37">
        <v>20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s="60" customFormat="1" ht="24" x14ac:dyDescent="0.25">
      <c r="A36" s="59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37">
        <f t="shared" si="1"/>
        <v>20</v>
      </c>
      <c r="N36" s="50">
        <v>30</v>
      </c>
      <c r="O36" s="61" t="s">
        <v>587</v>
      </c>
      <c r="P36" s="51">
        <v>6.1800000000000001E-2</v>
      </c>
      <c r="Q36" s="51">
        <f t="shared" ref="Q36" si="14">P36*N36</f>
        <v>1.8540000000000001</v>
      </c>
      <c r="R36" s="50"/>
      <c r="S36" s="58"/>
    </row>
    <row r="37" spans="1:19" s="60" customFormat="1" ht="36" x14ac:dyDescent="0.25">
      <c r="A37" s="59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 t="shared" si="1"/>
        <v>10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s="60" customFormat="1" ht="24" x14ac:dyDescent="0.25">
      <c r="A38" s="59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37">
        <f t="shared" si="1"/>
        <v>10</v>
      </c>
      <c r="N38" s="50">
        <v>20</v>
      </c>
      <c r="O38" s="61" t="s">
        <v>587</v>
      </c>
      <c r="P38" s="51">
        <v>8.6400000000000005E-2</v>
      </c>
      <c r="Q38" s="51">
        <f t="shared" ref="Q38" si="15">P38*N38</f>
        <v>1.7280000000000002</v>
      </c>
      <c r="R38" s="50"/>
      <c r="S38" s="58"/>
    </row>
    <row r="39" spans="1:19" s="60" customFormat="1" ht="24" x14ac:dyDescent="0.25">
      <c r="A39" s="59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 t="shared" si="1"/>
        <v>10</v>
      </c>
      <c r="N39" s="37">
        <v>20</v>
      </c>
      <c r="O39" s="61" t="s">
        <v>587</v>
      </c>
      <c r="P39" s="38">
        <v>4.6899999999999997E-2</v>
      </c>
      <c r="Q39" s="38">
        <f>P39*N39</f>
        <v>0.93799999999999994</v>
      </c>
      <c r="R39" s="37"/>
      <c r="S39" s="58"/>
    </row>
    <row r="40" spans="1:19" s="60" customFormat="1" x14ac:dyDescent="0.25">
      <c r="A40" s="59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37">
        <f t="shared" si="1"/>
        <v>10</v>
      </c>
      <c r="N40" s="50">
        <v>15</v>
      </c>
      <c r="O40" s="61" t="s">
        <v>587</v>
      </c>
      <c r="P40" s="51">
        <v>4.5600000000000002E-2</v>
      </c>
      <c r="Q40" s="51">
        <f t="shared" ref="Q40" si="16">P40*N40</f>
        <v>0.68400000000000005</v>
      </c>
      <c r="R40" s="50"/>
      <c r="S40" s="58"/>
    </row>
    <row r="41" spans="1:19" s="60" customFormat="1" ht="24" x14ac:dyDescent="0.25">
      <c r="A41" s="59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 t="shared" si="1"/>
        <v>20</v>
      </c>
      <c r="N41" s="37">
        <v>25</v>
      </c>
      <c r="O41" s="61" t="s">
        <v>587</v>
      </c>
      <c r="P41" s="38">
        <v>9.2999999999999999E-2</v>
      </c>
      <c r="Q41" s="38">
        <f>P41*N41</f>
        <v>2.3250000000000002</v>
      </c>
      <c r="R41" s="37"/>
      <c r="S41" s="58"/>
    </row>
    <row r="42" spans="1:19" s="60" customFormat="1" x14ac:dyDescent="0.25">
      <c r="A42" s="59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 t="shared" si="1"/>
        <v>50</v>
      </c>
      <c r="N42" s="50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s="60" customFormat="1" ht="24" x14ac:dyDescent="0.25">
      <c r="A43" s="59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37">
        <f t="shared" si="1"/>
        <v>30</v>
      </c>
      <c r="N43" s="37">
        <v>40</v>
      </c>
      <c r="O43" s="61" t="s">
        <v>587</v>
      </c>
      <c r="P43" s="51">
        <v>3.0599999999999999E-2</v>
      </c>
      <c r="Q43" s="51">
        <f t="shared" ref="Q43" si="17">P43*N43</f>
        <v>1.224</v>
      </c>
      <c r="R43" s="50"/>
      <c r="S43" s="58"/>
    </row>
    <row r="44" spans="1:19" s="60" customFormat="1" ht="24" x14ac:dyDescent="0.25">
      <c r="A44" s="59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 t="shared" si="1"/>
        <v>20</v>
      </c>
      <c r="N44" s="50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s="60" customFormat="1" ht="25.5" x14ac:dyDescent="0.25">
      <c r="A45" s="59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37">
        <f t="shared" si="1"/>
        <v>10</v>
      </c>
      <c r="N45" s="37">
        <v>15</v>
      </c>
      <c r="O45" s="61" t="s">
        <v>587</v>
      </c>
      <c r="P45" s="51">
        <v>0.21590000000000001</v>
      </c>
      <c r="Q45" s="51">
        <f t="shared" ref="Q45" si="18">P45*N45</f>
        <v>3.2385000000000002</v>
      </c>
      <c r="R45" s="50"/>
      <c r="S45" s="58"/>
    </row>
    <row r="46" spans="1:19" s="60" customFormat="1" ht="36" x14ac:dyDescent="0.25">
      <c r="A46" s="59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 t="shared" si="1"/>
        <v>10</v>
      </c>
      <c r="N46" s="50">
        <v>20</v>
      </c>
      <c r="O46" s="61" t="s">
        <v>587</v>
      </c>
      <c r="P46" s="38">
        <v>4.6600000000000003E-2</v>
      </c>
      <c r="Q46" s="38">
        <f>P46*N46</f>
        <v>0.93200000000000005</v>
      </c>
      <c r="R46" s="37"/>
      <c r="S46" s="58"/>
    </row>
    <row r="47" spans="1:19" s="60" customFormat="1" ht="25.5" x14ac:dyDescent="0.25">
      <c r="A47" s="59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 t="shared" si="1"/>
        <v>10</v>
      </c>
      <c r="N47" s="37">
        <v>15</v>
      </c>
      <c r="O47" s="61" t="s">
        <v>587</v>
      </c>
      <c r="P47" s="38">
        <v>0.2404</v>
      </c>
      <c r="Q47" s="38">
        <f>P47*N47</f>
        <v>3.6059999999999999</v>
      </c>
      <c r="R47" s="37"/>
      <c r="S47" s="58"/>
    </row>
    <row r="48" spans="1:19" s="60" customFormat="1" ht="36" x14ac:dyDescent="0.25">
      <c r="A48" s="59"/>
      <c r="B48" s="47">
        <f t="shared" si="0"/>
        <v>39</v>
      </c>
      <c r="C48" s="53" t="s">
        <v>15</v>
      </c>
      <c r="D48" s="64" t="s">
        <v>72</v>
      </c>
      <c r="E48" s="50" t="s">
        <v>636</v>
      </c>
      <c r="F48" s="50" t="s">
        <v>582</v>
      </c>
      <c r="G48" s="50" t="s">
        <v>633</v>
      </c>
      <c r="H48" s="50" t="s">
        <v>404</v>
      </c>
      <c r="I48" s="50"/>
      <c r="J48" s="50" t="s">
        <v>637</v>
      </c>
      <c r="K48" s="50" t="s">
        <v>588</v>
      </c>
      <c r="L48" s="50">
        <v>1</v>
      </c>
      <c r="M48" s="37">
        <f t="shared" si="1"/>
        <v>10</v>
      </c>
      <c r="N48" s="50">
        <v>15</v>
      </c>
      <c r="O48" s="61" t="s">
        <v>587</v>
      </c>
      <c r="P48" s="51">
        <v>8.6599999999999996E-2</v>
      </c>
      <c r="Q48" s="51">
        <f t="shared" ref="Q48" si="19">P48*N48</f>
        <v>1.2989999999999999</v>
      </c>
      <c r="R48" s="50"/>
      <c r="S48" s="58"/>
    </row>
    <row r="49" spans="1:19" s="60" customFormat="1" ht="25.5" x14ac:dyDescent="0.25">
      <c r="A49" s="59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 t="shared" si="1"/>
        <v>10</v>
      </c>
      <c r="N49" s="37">
        <v>15</v>
      </c>
      <c r="O49" s="61" t="s">
        <v>587</v>
      </c>
      <c r="P49" s="38">
        <v>0.2094</v>
      </c>
      <c r="Q49" s="38">
        <f>P49*N49</f>
        <v>3.141</v>
      </c>
      <c r="R49" s="37"/>
      <c r="S49" s="58"/>
    </row>
    <row r="50" spans="1:19" s="60" customFormat="1" ht="25.5" x14ac:dyDescent="0.25">
      <c r="A50" s="59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37">
        <f t="shared" si="1"/>
        <v>10</v>
      </c>
      <c r="N50" s="50">
        <v>15</v>
      </c>
      <c r="O50" s="61" t="s">
        <v>587</v>
      </c>
      <c r="P50" s="51">
        <v>0.25140000000000001</v>
      </c>
      <c r="Q50" s="51">
        <f t="shared" ref="Q50" si="20">P50*N50</f>
        <v>3.7710000000000004</v>
      </c>
      <c r="R50" s="50"/>
      <c r="S50" s="58"/>
    </row>
    <row r="51" spans="1:19" s="60" customFormat="1" ht="48" x14ac:dyDescent="0.25">
      <c r="A51" s="59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 t="shared" si="1"/>
        <v>10</v>
      </c>
      <c r="N51" s="37">
        <v>20</v>
      </c>
      <c r="O51" s="61" t="s">
        <v>587</v>
      </c>
      <c r="P51" s="38">
        <v>4.2200000000000001E-2</v>
      </c>
      <c r="Q51" s="38">
        <f>P51*N51</f>
        <v>0.84400000000000008</v>
      </c>
      <c r="R51" s="37"/>
      <c r="S51" s="58"/>
    </row>
    <row r="52" spans="1:19" s="60" customFormat="1" x14ac:dyDescent="0.25">
      <c r="A52" s="59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612</v>
      </c>
      <c r="J52" s="50" t="s">
        <v>613</v>
      </c>
      <c r="K52" s="50"/>
      <c r="L52" s="50">
        <v>3</v>
      </c>
      <c r="M52" s="37">
        <f t="shared" si="1"/>
        <v>30</v>
      </c>
      <c r="N52" s="50">
        <v>50</v>
      </c>
      <c r="O52" s="61" t="s">
        <v>587</v>
      </c>
      <c r="P52" s="51">
        <v>1.46E-2</v>
      </c>
      <c r="Q52" s="51">
        <f t="shared" ref="Q52" si="21">P52*N52</f>
        <v>0.73</v>
      </c>
      <c r="R52" s="50"/>
      <c r="S52" s="58"/>
    </row>
    <row r="53" spans="1:19" s="60" customFormat="1" ht="25.5" x14ac:dyDescent="0.25">
      <c r="A53" s="59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 t="shared" si="1"/>
        <v>10</v>
      </c>
      <c r="N53" s="37" t="s">
        <v>588</v>
      </c>
      <c r="O53" s="66" t="s">
        <v>588</v>
      </c>
      <c r="P53" s="66" t="s">
        <v>588</v>
      </c>
      <c r="Q53" s="66" t="s">
        <v>588</v>
      </c>
      <c r="R53" s="66"/>
      <c r="S53" s="58"/>
    </row>
    <row r="54" spans="1:19" s="60" customFormat="1" ht="24" x14ac:dyDescent="0.25">
      <c r="A54" s="59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37">
        <f t="shared" si="1"/>
        <v>10</v>
      </c>
      <c r="N54" s="50">
        <v>12</v>
      </c>
      <c r="O54" s="61" t="s">
        <v>587</v>
      </c>
      <c r="P54" s="51">
        <v>7.0400000000000004E-2</v>
      </c>
      <c r="Q54" s="51">
        <f t="shared" ref="Q54" si="22">P54*N54</f>
        <v>0.8448</v>
      </c>
      <c r="R54" s="50"/>
      <c r="S54" s="58"/>
    </row>
    <row r="55" spans="1:19" s="60" customFormat="1" ht="36" x14ac:dyDescent="0.25">
      <c r="A55" s="59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 t="shared" si="1"/>
        <v>10</v>
      </c>
      <c r="N55" s="37">
        <v>11</v>
      </c>
      <c r="O55" s="61" t="s">
        <v>619</v>
      </c>
      <c r="P55" s="38">
        <v>2.7</v>
      </c>
      <c r="Q55" s="38">
        <f>P55*N55</f>
        <v>29.700000000000003</v>
      </c>
      <c r="R55" s="37"/>
      <c r="S55" s="58"/>
    </row>
    <row r="56" spans="1:19" s="60" customFormat="1" ht="24" x14ac:dyDescent="0.25">
      <c r="A56" s="59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 t="shared" si="1"/>
        <v>10</v>
      </c>
      <c r="N56" s="50">
        <v>20</v>
      </c>
      <c r="O56" s="61" t="s">
        <v>587</v>
      </c>
      <c r="P56" s="38">
        <v>7.0300000000000001E-2</v>
      </c>
      <c r="Q56" s="38">
        <f>P56*N56</f>
        <v>1.4060000000000001</v>
      </c>
      <c r="R56" s="37"/>
      <c r="S56" s="58"/>
    </row>
    <row r="57" spans="1:19" s="60" customFormat="1" ht="24" x14ac:dyDescent="0.25">
      <c r="A57" s="59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37">
        <f t="shared" si="1"/>
        <v>10</v>
      </c>
      <c r="N57" s="37">
        <v>15</v>
      </c>
      <c r="O57" s="61" t="s">
        <v>587</v>
      </c>
      <c r="P57" s="51">
        <v>0.20399999999999999</v>
      </c>
      <c r="Q57" s="51">
        <f t="shared" ref="Q57" si="23">P57*N57</f>
        <v>3.0599999999999996</v>
      </c>
      <c r="R57" s="50"/>
      <c r="S57" s="58"/>
    </row>
    <row r="58" spans="1:19" s="60" customFormat="1" ht="24" x14ac:dyDescent="0.25">
      <c r="A58" s="59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 t="shared" si="1"/>
        <v>10</v>
      </c>
      <c r="N58" s="50">
        <v>15</v>
      </c>
      <c r="O58" s="61" t="s">
        <v>587</v>
      </c>
      <c r="P58" s="38">
        <v>0.22939999999999999</v>
      </c>
      <c r="Q58" s="38">
        <f>P58*N58</f>
        <v>3.4409999999999998</v>
      </c>
      <c r="R58" s="37"/>
      <c r="S58" s="58"/>
    </row>
    <row r="59" spans="1:19" s="60" customFormat="1" ht="24" x14ac:dyDescent="0.25">
      <c r="A59" s="59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37">
        <f t="shared" si="1"/>
        <v>10</v>
      </c>
      <c r="N59" s="37">
        <v>20</v>
      </c>
      <c r="O59" s="61" t="s">
        <v>587</v>
      </c>
      <c r="P59" s="51">
        <v>2.4299999999999999E-2</v>
      </c>
      <c r="Q59" s="51">
        <f t="shared" ref="Q59" si="24">P59*N59</f>
        <v>0.48599999999999999</v>
      </c>
      <c r="R59" s="50"/>
      <c r="S59" s="58"/>
    </row>
    <row r="60" spans="1:19" s="60" customFormat="1" ht="24" x14ac:dyDescent="0.25">
      <c r="A60" s="59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 t="shared" si="1"/>
        <v>20</v>
      </c>
      <c r="N60" s="50">
        <v>40</v>
      </c>
      <c r="O60" s="61" t="s">
        <v>587</v>
      </c>
      <c r="P60" s="38">
        <v>2.3E-2</v>
      </c>
      <c r="Q60" s="38">
        <f>P60*N60</f>
        <v>0.91999999999999993</v>
      </c>
      <c r="R60" s="37"/>
      <c r="S60" s="58"/>
    </row>
    <row r="61" spans="1:19" s="60" customFormat="1" x14ac:dyDescent="0.25">
      <c r="A61" s="59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650</v>
      </c>
      <c r="J61" s="50" t="s">
        <v>651</v>
      </c>
      <c r="K61" s="50" t="s">
        <v>588</v>
      </c>
      <c r="L61" s="50">
        <v>1</v>
      </c>
      <c r="M61" s="37">
        <f t="shared" si="1"/>
        <v>10</v>
      </c>
      <c r="N61" s="37">
        <v>50</v>
      </c>
      <c r="O61" s="61" t="s">
        <v>587</v>
      </c>
      <c r="P61" s="51">
        <v>1.54E-2</v>
      </c>
      <c r="Q61" s="51">
        <f t="shared" ref="Q61" si="25">P61*N61</f>
        <v>0.77</v>
      </c>
      <c r="R61" s="50"/>
      <c r="S61" s="58"/>
    </row>
    <row r="62" spans="1:19" s="60" customFormat="1" ht="36" x14ac:dyDescent="0.25">
      <c r="A62" s="59"/>
      <c r="B62" s="46">
        <f>ROW(B62) - ROW($B$9)</f>
        <v>53</v>
      </c>
      <c r="C62" s="53" t="s">
        <v>282</v>
      </c>
      <c r="D62" s="66" t="s">
        <v>657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20</v>
      </c>
      <c r="M62" s="37">
        <f t="shared" si="1"/>
        <v>200</v>
      </c>
      <c r="N62" s="50" t="s">
        <v>588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s="60" customFormat="1" x14ac:dyDescent="0.25">
      <c r="A63" s="59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37">
        <f t="shared" si="1"/>
        <v>10</v>
      </c>
      <c r="N63" s="37" t="s">
        <v>588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s="60" customFormat="1" x14ac:dyDescent="0.25">
      <c r="A64" s="59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 t="shared" si="1"/>
        <v>10</v>
      </c>
      <c r="N64" s="50">
        <v>15</v>
      </c>
      <c r="O64" s="61" t="s">
        <v>587</v>
      </c>
      <c r="P64" s="38">
        <v>0.1</v>
      </c>
      <c r="Q64" s="38">
        <f>P64*N64</f>
        <v>1.5</v>
      </c>
      <c r="R64" s="37"/>
      <c r="S64" s="58"/>
    </row>
    <row r="65" spans="1:19" s="60" customFormat="1" ht="48" x14ac:dyDescent="0.25">
      <c r="A65" s="59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37">
        <f t="shared" si="1"/>
        <v>10</v>
      </c>
      <c r="N65" s="37">
        <v>15</v>
      </c>
      <c r="O65" s="61" t="s">
        <v>587</v>
      </c>
      <c r="P65" s="51">
        <v>3.3500000000000002E-2</v>
      </c>
      <c r="Q65" s="51">
        <f t="shared" ref="Q65" si="26">P65*N65</f>
        <v>0.50250000000000006</v>
      </c>
      <c r="R65" s="50"/>
      <c r="S65" s="58"/>
    </row>
    <row r="66" spans="1:19" s="60" customFormat="1" ht="36" x14ac:dyDescent="0.25">
      <c r="A66" s="59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 t="shared" si="1"/>
        <v>20</v>
      </c>
      <c r="N66" s="50">
        <v>30</v>
      </c>
      <c r="O66" s="61" t="s">
        <v>587</v>
      </c>
      <c r="P66" s="38">
        <v>6.6600000000000006E-2</v>
      </c>
      <c r="Q66" s="38">
        <f>P66*N66</f>
        <v>1.9980000000000002</v>
      </c>
      <c r="R66" s="37"/>
      <c r="S66" s="58"/>
    </row>
    <row r="67" spans="1:19" s="60" customFormat="1" x14ac:dyDescent="0.25">
      <c r="A67" s="59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37">
        <f t="shared" si="1"/>
        <v>10</v>
      </c>
      <c r="N67" s="37">
        <v>30</v>
      </c>
      <c r="O67" s="61" t="s">
        <v>587</v>
      </c>
      <c r="P67" s="51">
        <v>3.4099999999999998E-2</v>
      </c>
      <c r="Q67" s="51">
        <f t="shared" ref="Q67" si="27">P67*N67</f>
        <v>1.0229999999999999</v>
      </c>
      <c r="R67" s="50"/>
      <c r="S67" s="58"/>
    </row>
    <row r="68" spans="1:19" s="60" customFormat="1" ht="24" x14ac:dyDescent="0.25">
      <c r="A68" s="59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 t="shared" si="1"/>
        <v>10</v>
      </c>
      <c r="N68" s="50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s="60" customFormat="1" x14ac:dyDescent="0.25">
      <c r="A69" s="59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37">
        <f t="shared" si="1"/>
        <v>40</v>
      </c>
      <c r="N69" s="37">
        <v>100</v>
      </c>
      <c r="O69" s="61" t="s">
        <v>587</v>
      </c>
      <c r="P69" s="51">
        <v>1.2999999999999999E-3</v>
      </c>
      <c r="Q69" s="51">
        <f t="shared" ref="Q69" si="28">P69*N69</f>
        <v>0.13</v>
      </c>
      <c r="R69" s="50"/>
      <c r="S69" s="58"/>
    </row>
    <row r="70" spans="1:19" s="60" customFormat="1" x14ac:dyDescent="0.25">
      <c r="A70" s="59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 t="shared" si="1"/>
        <v>20</v>
      </c>
      <c r="N70" s="50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s="60" customFormat="1" ht="36" x14ac:dyDescent="0.25">
      <c r="A71" s="59"/>
      <c r="B71" s="47">
        <f>ROW(B71) - ROW($B$9)</f>
        <v>62</v>
      </c>
      <c r="C71" s="53" t="s">
        <v>27</v>
      </c>
      <c r="D71" s="37" t="s">
        <v>655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19</v>
      </c>
      <c r="M71" s="37">
        <f t="shared" si="1"/>
        <v>190</v>
      </c>
      <c r="N71" s="37">
        <v>200</v>
      </c>
      <c r="O71" s="61" t="s">
        <v>587</v>
      </c>
      <c r="P71" s="51">
        <v>5.9999999999999995E-4</v>
      </c>
      <c r="Q71" s="51">
        <f t="shared" ref="Q71:Q73" si="29">P71*N71</f>
        <v>0.12</v>
      </c>
      <c r="R71" s="50"/>
      <c r="S71" s="58"/>
    </row>
    <row r="72" spans="1:19" s="60" customFormat="1" x14ac:dyDescent="0.25">
      <c r="A72" s="59"/>
      <c r="B72" s="47">
        <f>ROW(B72) - ROW($B$9)</f>
        <v>63</v>
      </c>
      <c r="C72" s="53" t="s">
        <v>27</v>
      </c>
      <c r="D72" s="64" t="s">
        <v>609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37">
        <f t="shared" ref="M72:M126" si="30">L72*10</f>
        <v>60</v>
      </c>
      <c r="N72" s="50">
        <v>100</v>
      </c>
      <c r="O72" s="61" t="s">
        <v>587</v>
      </c>
      <c r="P72" s="51">
        <v>1E-3</v>
      </c>
      <c r="Q72" s="51">
        <f t="shared" si="29"/>
        <v>0.1</v>
      </c>
      <c r="R72" s="50"/>
      <c r="S72" s="58"/>
    </row>
    <row r="73" spans="1:19" s="60" customFormat="1" x14ac:dyDescent="0.25">
      <c r="A73" s="59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37">
        <f t="shared" si="30"/>
        <v>20</v>
      </c>
      <c r="N73" s="37">
        <v>100</v>
      </c>
      <c r="O73" s="61" t="s">
        <v>587</v>
      </c>
      <c r="P73" s="51">
        <v>6.9999999999999999E-4</v>
      </c>
      <c r="Q73" s="51">
        <f t="shared" si="29"/>
        <v>6.9999999999999993E-2</v>
      </c>
      <c r="R73" s="50"/>
      <c r="S73" s="58"/>
    </row>
    <row r="74" spans="1:19" s="60" customFormat="1" x14ac:dyDescent="0.25">
      <c r="A74" s="59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 t="shared" si="30"/>
        <v>10</v>
      </c>
      <c r="N74" s="50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s="60" customFormat="1" x14ac:dyDescent="0.25">
      <c r="A75" s="59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 t="shared" si="30"/>
        <v>10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s="60" customFormat="1" x14ac:dyDescent="0.25">
      <c r="A76" s="59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37">
        <f t="shared" si="30"/>
        <v>10</v>
      </c>
      <c r="N76" s="50">
        <v>20</v>
      </c>
      <c r="O76" s="61" t="s">
        <v>587</v>
      </c>
      <c r="P76" s="51">
        <v>2.5000000000000001E-2</v>
      </c>
      <c r="Q76" s="51">
        <f t="shared" ref="Q76" si="31">P76*N76</f>
        <v>0.5</v>
      </c>
      <c r="R76" s="50"/>
      <c r="S76" s="58"/>
    </row>
    <row r="77" spans="1:19" s="60" customFormat="1" x14ac:dyDescent="0.25">
      <c r="A77" s="59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 t="shared" si="30"/>
        <v>10</v>
      </c>
      <c r="N77" s="37">
        <v>20</v>
      </c>
      <c r="O77" s="61" t="s">
        <v>587</v>
      </c>
      <c r="P77" s="38">
        <v>1.1999999999999999E-3</v>
      </c>
      <c r="Q77" s="38">
        <f>P77*N77</f>
        <v>2.3999999999999997E-2</v>
      </c>
      <c r="R77" s="37"/>
      <c r="S77" s="58"/>
    </row>
    <row r="78" spans="1:19" s="60" customFormat="1" x14ac:dyDescent="0.25">
      <c r="A78" s="59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37">
        <f t="shared" si="30"/>
        <v>10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s="60" customFormat="1" x14ac:dyDescent="0.25">
      <c r="A79" s="59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 t="shared" si="30"/>
        <v>10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s="60" customFormat="1" x14ac:dyDescent="0.25">
      <c r="A80" s="59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37">
        <f t="shared" si="30"/>
        <v>10</v>
      </c>
      <c r="N80" s="50">
        <v>100</v>
      </c>
      <c r="O80" s="61" t="s">
        <v>587</v>
      </c>
      <c r="P80" s="51">
        <v>1.2999999999999999E-3</v>
      </c>
      <c r="Q80" s="51">
        <f t="shared" ref="Q80" si="32">P80*N80</f>
        <v>0.13</v>
      </c>
      <c r="R80" s="50"/>
      <c r="S80" s="58"/>
    </row>
    <row r="81" spans="1:19" s="60" customFormat="1" x14ac:dyDescent="0.25">
      <c r="A81" s="59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 t="shared" si="30"/>
        <v>10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s="60" customFormat="1" x14ac:dyDescent="0.25">
      <c r="A82" s="59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37">
        <f t="shared" si="30"/>
        <v>10</v>
      </c>
      <c r="N82" s="50">
        <v>100</v>
      </c>
      <c r="O82" s="61" t="s">
        <v>587</v>
      </c>
      <c r="P82" s="51">
        <v>1.2999999999999999E-3</v>
      </c>
      <c r="Q82" s="51">
        <f t="shared" ref="Q82" si="33">P82*N82</f>
        <v>0.13</v>
      </c>
      <c r="R82" s="50"/>
      <c r="S82" s="58"/>
    </row>
    <row r="83" spans="1:19" s="60" customFormat="1" x14ac:dyDescent="0.25">
      <c r="A83" s="59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 t="shared" si="30"/>
        <v>10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s="60" customFormat="1" x14ac:dyDescent="0.25">
      <c r="A84" s="59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 t="shared" si="30"/>
        <v>30</v>
      </c>
      <c r="N84" s="50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s="60" customFormat="1" x14ac:dyDescent="0.25">
      <c r="A85" s="59"/>
      <c r="B85" s="47">
        <f t="shared" si="0"/>
        <v>76</v>
      </c>
      <c r="C85" s="53" t="s">
        <v>27</v>
      </c>
      <c r="D85" s="37" t="s">
        <v>656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1</v>
      </c>
      <c r="M85" s="37">
        <f t="shared" si="30"/>
        <v>10</v>
      </c>
      <c r="N85" s="37">
        <v>100</v>
      </c>
      <c r="O85" s="61" t="s">
        <v>587</v>
      </c>
      <c r="P85" s="51">
        <v>1E-3</v>
      </c>
      <c r="Q85" s="51">
        <f t="shared" ref="Q85" si="34">P85*N85</f>
        <v>0.1</v>
      </c>
      <c r="R85" s="50"/>
      <c r="S85" s="58"/>
    </row>
    <row r="86" spans="1:19" s="60" customFormat="1" x14ac:dyDescent="0.25">
      <c r="A86" s="59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 t="shared" si="30"/>
        <v>10</v>
      </c>
      <c r="N86" s="50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s="60" customFormat="1" x14ac:dyDescent="0.25">
      <c r="A87" s="59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620</v>
      </c>
      <c r="J87" s="50" t="s">
        <v>621</v>
      </c>
      <c r="K87" s="50" t="s">
        <v>557</v>
      </c>
      <c r="L87" s="50">
        <v>1</v>
      </c>
      <c r="M87" s="37">
        <f t="shared" si="30"/>
        <v>10</v>
      </c>
      <c r="N87" s="37">
        <v>100</v>
      </c>
      <c r="O87" s="61" t="s">
        <v>587</v>
      </c>
      <c r="P87" s="51">
        <v>5.9999999999999995E-4</v>
      </c>
      <c r="Q87" s="51">
        <f t="shared" ref="Q87" si="35">P87*N87</f>
        <v>0.06</v>
      </c>
      <c r="R87" s="50"/>
      <c r="S87" s="58"/>
    </row>
    <row r="88" spans="1:19" s="60" customFormat="1" x14ac:dyDescent="0.25">
      <c r="A88" s="59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 t="shared" si="30"/>
        <v>10</v>
      </c>
      <c r="N88" s="50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s="60" customFormat="1" x14ac:dyDescent="0.25">
      <c r="A89" s="59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37">
        <f t="shared" si="30"/>
        <v>20</v>
      </c>
      <c r="N89" s="37">
        <v>100</v>
      </c>
      <c r="O89" s="61" t="s">
        <v>587</v>
      </c>
      <c r="P89" s="51">
        <v>1.1000000000000001E-3</v>
      </c>
      <c r="Q89" s="51">
        <f t="shared" ref="Q89" si="36">P89*N89</f>
        <v>0.11</v>
      </c>
      <c r="R89" s="50"/>
      <c r="S89" s="58"/>
    </row>
    <row r="90" spans="1:19" s="60" customFormat="1" x14ac:dyDescent="0.25">
      <c r="A90" s="59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 t="shared" si="30"/>
        <v>10</v>
      </c>
      <c r="N90" s="50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s="60" customFormat="1" x14ac:dyDescent="0.25">
      <c r="A91" s="59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37">
        <f t="shared" si="30"/>
        <v>40</v>
      </c>
      <c r="N91" s="37">
        <v>100</v>
      </c>
      <c r="O91" s="61" t="s">
        <v>587</v>
      </c>
      <c r="P91" s="51">
        <v>1.1999999999999999E-3</v>
      </c>
      <c r="Q91" s="51">
        <f t="shared" ref="Q91" si="37">P91*N91</f>
        <v>0.12</v>
      </c>
      <c r="R91" s="50"/>
      <c r="S91" s="58"/>
    </row>
    <row r="92" spans="1:19" s="60" customFormat="1" x14ac:dyDescent="0.25">
      <c r="A92" s="59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 t="shared" si="30"/>
        <v>10</v>
      </c>
      <c r="N92" s="50">
        <v>15</v>
      </c>
      <c r="O92" s="61" t="s">
        <v>587</v>
      </c>
      <c r="P92" s="38">
        <v>7.4800000000000005E-2</v>
      </c>
      <c r="Q92" s="38">
        <f>P92*N92</f>
        <v>1.1220000000000001</v>
      </c>
      <c r="R92" s="37"/>
      <c r="S92" s="58"/>
    </row>
    <row r="93" spans="1:19" s="60" customFormat="1" x14ac:dyDescent="0.25">
      <c r="A93" s="59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37">
        <f t="shared" si="30"/>
        <v>10</v>
      </c>
      <c r="N93" s="37">
        <v>100</v>
      </c>
      <c r="O93" s="61" t="s">
        <v>587</v>
      </c>
      <c r="P93" s="51">
        <v>3.8999999999999998E-3</v>
      </c>
      <c r="Q93" s="51">
        <f t="shared" ref="Q93" si="38">P93*N93</f>
        <v>0.38999999999999996</v>
      </c>
      <c r="R93" s="50"/>
      <c r="S93" s="58"/>
    </row>
    <row r="94" spans="1:19" s="60" customFormat="1" x14ac:dyDescent="0.25">
      <c r="A94" s="59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 t="shared" si="30"/>
        <v>40</v>
      </c>
      <c r="N94" s="50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s="60" customFormat="1" x14ac:dyDescent="0.25">
      <c r="A95" s="59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37">
        <f t="shared" si="30"/>
        <v>10</v>
      </c>
      <c r="N95" s="37">
        <v>20</v>
      </c>
      <c r="O95" s="61" t="s">
        <v>587</v>
      </c>
      <c r="P95" s="51">
        <v>2.3900000000000001E-2</v>
      </c>
      <c r="Q95" s="51">
        <f t="shared" ref="Q95" si="39">P95*N95</f>
        <v>0.47800000000000004</v>
      </c>
      <c r="R95" s="50"/>
      <c r="S95" s="58"/>
    </row>
    <row r="96" spans="1:19" s="60" customFormat="1" x14ac:dyDescent="0.25">
      <c r="A96" s="59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 t="shared" si="30"/>
        <v>10</v>
      </c>
      <c r="N96" s="50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19" s="60" customFormat="1" x14ac:dyDescent="0.25">
      <c r="A97" s="59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37">
        <f t="shared" si="30"/>
        <v>10</v>
      </c>
      <c r="N97" s="37">
        <v>100</v>
      </c>
      <c r="O97" s="61" t="s">
        <v>587</v>
      </c>
      <c r="P97" s="51">
        <v>1.2999999999999999E-3</v>
      </c>
      <c r="Q97" s="51">
        <f t="shared" ref="Q97" si="40">P97*N97</f>
        <v>0.13</v>
      </c>
      <c r="R97" s="50"/>
      <c r="S97" s="58"/>
    </row>
    <row r="98" spans="1:19" s="60" customFormat="1" ht="25.5" x14ac:dyDescent="0.25">
      <c r="A98" s="59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 t="shared" si="30"/>
        <v>30</v>
      </c>
      <c r="N98" s="50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19" s="60" customFormat="1" x14ac:dyDescent="0.25">
      <c r="A99" s="59"/>
      <c r="B99" s="47">
        <f t="shared" si="0"/>
        <v>90</v>
      </c>
      <c r="C99" s="53" t="s">
        <v>29</v>
      </c>
      <c r="D99" s="66" t="s">
        <v>658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6</v>
      </c>
      <c r="M99" s="37">
        <f t="shared" si="30"/>
        <v>60</v>
      </c>
      <c r="N99" s="37">
        <v>50</v>
      </c>
      <c r="O99" s="66" t="s">
        <v>588</v>
      </c>
      <c r="P99" s="66" t="s">
        <v>588</v>
      </c>
      <c r="Q99" s="66" t="s">
        <v>588</v>
      </c>
      <c r="R99" s="66"/>
      <c r="S99" s="58"/>
    </row>
    <row r="100" spans="1:19" s="60" customFormat="1" ht="36" x14ac:dyDescent="0.25">
      <c r="A100" s="59"/>
      <c r="B100" s="46">
        <f>ROW(B100) - ROW($B$9)</f>
        <v>91</v>
      </c>
      <c r="C100" s="52" t="s">
        <v>30</v>
      </c>
      <c r="D100" s="62" t="s">
        <v>119</v>
      </c>
      <c r="E100" s="37" t="s">
        <v>641</v>
      </c>
      <c r="F100" s="37" t="s">
        <v>582</v>
      </c>
      <c r="G100" s="37" t="s">
        <v>634</v>
      </c>
      <c r="H100" s="37" t="s">
        <v>642</v>
      </c>
      <c r="I100" s="37" t="s">
        <v>588</v>
      </c>
      <c r="J100" s="37" t="s">
        <v>643</v>
      </c>
      <c r="K100" s="37" t="s">
        <v>588</v>
      </c>
      <c r="L100" s="37">
        <v>1</v>
      </c>
      <c r="M100" s="37">
        <f t="shared" si="30"/>
        <v>10</v>
      </c>
      <c r="N100" s="50">
        <v>20</v>
      </c>
      <c r="O100" s="61" t="s">
        <v>587</v>
      </c>
      <c r="P100" s="38">
        <v>5.5500000000000001E-2</v>
      </c>
      <c r="Q100" s="38">
        <f>P100*N100</f>
        <v>1.1100000000000001</v>
      </c>
      <c r="R100" s="37"/>
      <c r="S100" s="58"/>
    </row>
    <row r="101" spans="1:19" s="60" customFormat="1" ht="36" x14ac:dyDescent="0.25">
      <c r="A101" s="59"/>
      <c r="B101" s="47">
        <f t="shared" si="0"/>
        <v>92</v>
      </c>
      <c r="C101" s="53" t="s">
        <v>30</v>
      </c>
      <c r="D101" s="64" t="s">
        <v>120</v>
      </c>
      <c r="E101" s="50" t="s">
        <v>644</v>
      </c>
      <c r="F101" s="50" t="s">
        <v>582</v>
      </c>
      <c r="G101" s="50" t="s">
        <v>635</v>
      </c>
      <c r="H101" s="50" t="s">
        <v>645</v>
      </c>
      <c r="I101" s="50"/>
      <c r="J101" s="50" t="s">
        <v>646</v>
      </c>
      <c r="K101" s="50" t="s">
        <v>588</v>
      </c>
      <c r="L101" s="50">
        <v>1</v>
      </c>
      <c r="M101" s="37">
        <f t="shared" si="30"/>
        <v>10</v>
      </c>
      <c r="N101" s="37">
        <v>15</v>
      </c>
      <c r="O101" s="61" t="s">
        <v>587</v>
      </c>
      <c r="P101" s="51">
        <v>6.2399999999999997E-2</v>
      </c>
      <c r="Q101" s="51">
        <f t="shared" ref="Q101" si="41">P101*N101</f>
        <v>0.93599999999999994</v>
      </c>
      <c r="R101" s="50"/>
      <c r="S101" s="58"/>
    </row>
    <row r="102" spans="1:19" s="60" customFormat="1" ht="24" x14ac:dyDescent="0.25">
      <c r="A102" s="59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 t="shared" si="30"/>
        <v>10</v>
      </c>
      <c r="N102" s="50">
        <v>11</v>
      </c>
      <c r="O102" s="61" t="s">
        <v>587</v>
      </c>
      <c r="P102" s="38">
        <v>0.2354</v>
      </c>
      <c r="Q102" s="38">
        <f>P102*N102</f>
        <v>2.5893999999999999</v>
      </c>
      <c r="R102" s="37"/>
      <c r="S102" s="58"/>
    </row>
    <row r="103" spans="1:19" s="60" customFormat="1" ht="36" x14ac:dyDescent="0.25">
      <c r="A103" s="59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37">
        <f t="shared" si="30"/>
        <v>10</v>
      </c>
      <c r="N103" s="37">
        <v>15</v>
      </c>
      <c r="O103" s="61" t="s">
        <v>587</v>
      </c>
      <c r="P103" s="51">
        <v>8.9099999999999999E-2</v>
      </c>
      <c r="Q103" s="51">
        <f t="shared" ref="Q103" si="42">P103*N103</f>
        <v>1.3365</v>
      </c>
      <c r="R103" s="50"/>
      <c r="S103" s="58"/>
    </row>
    <row r="104" spans="1:19" s="60" customFormat="1" ht="36" x14ac:dyDescent="0.25">
      <c r="A104" s="59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 t="shared" si="30"/>
        <v>10</v>
      </c>
      <c r="N104" s="50">
        <v>15</v>
      </c>
      <c r="O104" s="61" t="s">
        <v>587</v>
      </c>
      <c r="P104" s="38">
        <v>0.1041</v>
      </c>
      <c r="Q104" s="38">
        <f>P104*N104</f>
        <v>1.5614999999999999</v>
      </c>
      <c r="R104" s="37"/>
      <c r="S104" s="58"/>
    </row>
    <row r="105" spans="1:19" s="60" customFormat="1" ht="36" x14ac:dyDescent="0.25">
      <c r="A105" s="59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37">
        <f t="shared" si="30"/>
        <v>10</v>
      </c>
      <c r="N105" s="37">
        <v>15</v>
      </c>
      <c r="O105" s="61" t="s">
        <v>587</v>
      </c>
      <c r="P105" s="51">
        <v>7.2400000000000006E-2</v>
      </c>
      <c r="Q105" s="51">
        <f t="shared" ref="Q105" si="43">P105*N105</f>
        <v>1.0860000000000001</v>
      </c>
      <c r="R105" s="50"/>
      <c r="S105" s="58"/>
    </row>
    <row r="106" spans="1:19" s="60" customFormat="1" x14ac:dyDescent="0.25">
      <c r="A106" s="59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 t="shared" si="30"/>
        <v>10</v>
      </c>
      <c r="N106" s="50">
        <v>15</v>
      </c>
      <c r="O106" s="61" t="s">
        <v>587</v>
      </c>
      <c r="P106" s="38">
        <v>0.17230000000000001</v>
      </c>
      <c r="Q106" s="38">
        <f>P106*N106</f>
        <v>2.5845000000000002</v>
      </c>
      <c r="R106" s="37"/>
      <c r="S106" s="58"/>
    </row>
    <row r="107" spans="1:19" s="60" customFormat="1" x14ac:dyDescent="0.25">
      <c r="A107" s="59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652</v>
      </c>
      <c r="K107" s="50"/>
      <c r="L107" s="50">
        <v>1</v>
      </c>
      <c r="M107" s="37">
        <f t="shared" si="30"/>
        <v>10</v>
      </c>
      <c r="N107" s="37">
        <v>11</v>
      </c>
      <c r="O107" s="61" t="s">
        <v>587</v>
      </c>
      <c r="P107" s="51">
        <v>0.58709999999999996</v>
      </c>
      <c r="Q107" s="51">
        <f t="shared" ref="Q107" si="44">P107*N107</f>
        <v>6.4581</v>
      </c>
      <c r="R107" s="50"/>
      <c r="S107" s="58"/>
    </row>
    <row r="108" spans="1:19" s="60" customFormat="1" ht="36" x14ac:dyDescent="0.25">
      <c r="A108" s="59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 t="shared" si="30"/>
        <v>10</v>
      </c>
      <c r="N108" s="50">
        <v>15</v>
      </c>
      <c r="O108" s="61" t="s">
        <v>587</v>
      </c>
      <c r="P108" s="38">
        <v>8.5500000000000007E-2</v>
      </c>
      <c r="Q108" s="38">
        <f>P108*N108</f>
        <v>1.2825000000000002</v>
      </c>
      <c r="R108" s="37"/>
      <c r="S108" s="58"/>
    </row>
    <row r="109" spans="1:19" s="60" customFormat="1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37">
        <f t="shared" si="30"/>
        <v>10</v>
      </c>
      <c r="N109" s="37">
        <v>11</v>
      </c>
      <c r="O109" s="61" t="s">
        <v>622</v>
      </c>
      <c r="P109" s="51">
        <v>6.7164999999999999</v>
      </c>
      <c r="Q109" s="51">
        <f t="shared" ref="Q109" si="45">P109*N109</f>
        <v>73.881500000000003</v>
      </c>
      <c r="R109" s="50"/>
      <c r="S109" s="58"/>
    </row>
    <row r="110" spans="1:19" s="60" customFormat="1" ht="36" x14ac:dyDescent="0.25">
      <c r="A110" s="59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 t="shared" si="30"/>
        <v>10</v>
      </c>
      <c r="N110" s="50">
        <v>11</v>
      </c>
      <c r="O110" s="61" t="s">
        <v>622</v>
      </c>
      <c r="P110" s="38">
        <v>10.1</v>
      </c>
      <c r="Q110" s="38">
        <f>P110*N110</f>
        <v>111.1</v>
      </c>
      <c r="R110" s="63"/>
      <c r="S110" s="58"/>
    </row>
    <row r="111" spans="1:19" s="60" customFormat="1" ht="25.5" x14ac:dyDescent="0.25">
      <c r="A111" s="59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37">
        <f t="shared" si="30"/>
        <v>10</v>
      </c>
      <c r="N111" s="37">
        <v>11</v>
      </c>
      <c r="O111" s="61" t="s">
        <v>587</v>
      </c>
      <c r="P111" s="51">
        <v>5.9278000000000004</v>
      </c>
      <c r="Q111" s="51">
        <f t="shared" ref="Q111:Q112" si="46">P111*N111</f>
        <v>65.205800000000011</v>
      </c>
      <c r="R111" s="50"/>
      <c r="S111" s="58"/>
    </row>
    <row r="112" spans="1:19" s="60" customFormat="1" x14ac:dyDescent="0.25">
      <c r="A112" s="59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37">
        <f t="shared" si="30"/>
        <v>10</v>
      </c>
      <c r="N112" s="50">
        <v>11</v>
      </c>
      <c r="O112" s="61" t="s">
        <v>587</v>
      </c>
      <c r="P112" s="51">
        <v>0.4773</v>
      </c>
      <c r="Q112" s="51">
        <f t="shared" si="46"/>
        <v>5.2503000000000002</v>
      </c>
      <c r="R112" s="50"/>
      <c r="S112" s="58"/>
    </row>
    <row r="113" spans="1:19" s="60" customFormat="1" x14ac:dyDescent="0.25">
      <c r="A113" s="59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 t="shared" si="30"/>
        <v>10</v>
      </c>
      <c r="N113" s="37">
        <v>11</v>
      </c>
      <c r="O113" s="61" t="s">
        <v>587</v>
      </c>
      <c r="P113" s="38">
        <v>0.32940000000000003</v>
      </c>
      <c r="Q113" s="38">
        <f>P113*N113</f>
        <v>3.6234000000000002</v>
      </c>
      <c r="R113" s="37"/>
      <c r="S113" s="58"/>
    </row>
    <row r="114" spans="1:19" s="60" customFormat="1" x14ac:dyDescent="0.25">
      <c r="A114" s="59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37">
        <f t="shared" si="30"/>
        <v>10</v>
      </c>
      <c r="N114" s="50">
        <v>11</v>
      </c>
      <c r="O114" s="61" t="s">
        <v>587</v>
      </c>
      <c r="P114" s="51">
        <v>3.6623000000000001</v>
      </c>
      <c r="Q114" s="51">
        <f t="shared" ref="Q114:Q115" si="47">P114*N114</f>
        <v>40.285299999999999</v>
      </c>
      <c r="R114" s="50"/>
      <c r="S114" s="58"/>
    </row>
    <row r="115" spans="1:19" s="60" customFormat="1" x14ac:dyDescent="0.25">
      <c r="A115" s="59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37">
        <f t="shared" si="30"/>
        <v>10</v>
      </c>
      <c r="N115" s="37">
        <v>11</v>
      </c>
      <c r="O115" s="61" t="s">
        <v>587</v>
      </c>
      <c r="P115" s="51">
        <v>4.62</v>
      </c>
      <c r="Q115" s="51">
        <f t="shared" si="47"/>
        <v>50.82</v>
      </c>
      <c r="R115" s="50"/>
      <c r="S115" s="58"/>
    </row>
    <row r="116" spans="1:19" s="60" customFormat="1" x14ac:dyDescent="0.25">
      <c r="A116" s="59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 t="shared" si="30"/>
        <v>10</v>
      </c>
      <c r="N116" s="50">
        <v>11</v>
      </c>
      <c r="O116" s="61" t="s">
        <v>587</v>
      </c>
      <c r="P116" s="38">
        <v>1.6212</v>
      </c>
      <c r="Q116" s="38">
        <f>P116*N116</f>
        <v>17.833199999999998</v>
      </c>
      <c r="R116" s="37"/>
      <c r="S116" s="58"/>
    </row>
    <row r="117" spans="1:19" s="60" customFormat="1" x14ac:dyDescent="0.25">
      <c r="A117" s="59"/>
      <c r="B117" s="47">
        <f t="shared" si="0"/>
        <v>108</v>
      </c>
      <c r="C117" s="53" t="s">
        <v>31</v>
      </c>
      <c r="D117" s="64" t="s">
        <v>135</v>
      </c>
      <c r="E117" s="50" t="s">
        <v>623</v>
      </c>
      <c r="F117" s="50" t="s">
        <v>647</v>
      </c>
      <c r="G117" s="50" t="s">
        <v>624</v>
      </c>
      <c r="H117" s="50" t="s">
        <v>421</v>
      </c>
      <c r="I117" s="37" t="s">
        <v>588</v>
      </c>
      <c r="J117" s="50" t="s">
        <v>625</v>
      </c>
      <c r="K117" s="50"/>
      <c r="L117" s="50">
        <v>1</v>
      </c>
      <c r="M117" s="37">
        <f t="shared" si="30"/>
        <v>10</v>
      </c>
      <c r="N117" s="37">
        <v>11</v>
      </c>
      <c r="O117" s="61" t="s">
        <v>587</v>
      </c>
      <c r="P117" s="51">
        <v>1.8216000000000001</v>
      </c>
      <c r="Q117" s="51">
        <f t="shared" ref="Q117" si="48">P117*N117</f>
        <v>20.037600000000001</v>
      </c>
      <c r="R117" s="50"/>
      <c r="S117" s="58"/>
    </row>
    <row r="118" spans="1:19" s="60" customFormat="1" x14ac:dyDescent="0.25">
      <c r="A118" s="59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 t="shared" si="30"/>
        <v>10</v>
      </c>
      <c r="N118" s="50">
        <v>11</v>
      </c>
      <c r="O118" s="61" t="s">
        <v>587</v>
      </c>
      <c r="P118" s="38">
        <v>0.43759999999999999</v>
      </c>
      <c r="Q118" s="38">
        <f>P118*N118</f>
        <v>4.8136000000000001</v>
      </c>
      <c r="R118" s="37"/>
      <c r="S118" s="58"/>
    </row>
    <row r="119" spans="1:19" s="60" customFormat="1" ht="24" x14ac:dyDescent="0.25">
      <c r="A119" s="59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37">
        <f t="shared" si="30"/>
        <v>10</v>
      </c>
      <c r="N119" s="37">
        <v>11</v>
      </c>
      <c r="O119" s="61" t="s">
        <v>587</v>
      </c>
      <c r="P119" s="51">
        <v>0.55369999999999997</v>
      </c>
      <c r="Q119" s="51">
        <f t="shared" ref="Q119" si="49">P119*N119</f>
        <v>6.0907</v>
      </c>
      <c r="R119" s="50"/>
      <c r="S119" s="58"/>
    </row>
    <row r="120" spans="1:19" s="60" customFormat="1" x14ac:dyDescent="0.25">
      <c r="A120" s="59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 t="shared" si="30"/>
        <v>10</v>
      </c>
      <c r="N120" s="50">
        <v>11</v>
      </c>
      <c r="O120" s="61" t="s">
        <v>587</v>
      </c>
      <c r="P120" s="38">
        <v>2.3816000000000002</v>
      </c>
      <c r="Q120" s="38">
        <f>P120*N120</f>
        <v>26.197600000000001</v>
      </c>
      <c r="R120" s="37"/>
      <c r="S120" s="58"/>
    </row>
    <row r="121" spans="1:19" s="60" customFormat="1" ht="24" x14ac:dyDescent="0.25">
      <c r="A121" s="59"/>
      <c r="B121" s="47">
        <f t="shared" si="0"/>
        <v>112</v>
      </c>
      <c r="C121" s="52" t="s">
        <v>37</v>
      </c>
      <c r="D121" s="50" t="s">
        <v>139</v>
      </c>
      <c r="E121" s="50" t="s">
        <v>626</v>
      </c>
      <c r="F121" s="50" t="s">
        <v>582</v>
      </c>
      <c r="G121" s="50" t="s">
        <v>629</v>
      </c>
      <c r="H121" s="50" t="s">
        <v>628</v>
      </c>
      <c r="I121" s="50" t="s">
        <v>588</v>
      </c>
      <c r="J121" s="50" t="s">
        <v>627</v>
      </c>
      <c r="K121" s="50" t="s">
        <v>630</v>
      </c>
      <c r="L121" s="50">
        <v>1</v>
      </c>
      <c r="M121" s="37">
        <f t="shared" si="30"/>
        <v>10</v>
      </c>
      <c r="N121" s="37">
        <v>15</v>
      </c>
      <c r="O121" s="61" t="s">
        <v>587</v>
      </c>
      <c r="P121" s="51">
        <v>0.26279999999999998</v>
      </c>
      <c r="Q121" s="51">
        <f t="shared" ref="Q121" si="50">P121*N121</f>
        <v>3.9419999999999997</v>
      </c>
      <c r="R121" s="50"/>
      <c r="S121" s="58"/>
    </row>
    <row r="122" spans="1:19" s="60" customFormat="1" ht="24" x14ac:dyDescent="0.25">
      <c r="A122" s="59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 t="shared" si="30"/>
        <v>10</v>
      </c>
      <c r="N122" s="50">
        <v>15</v>
      </c>
      <c r="O122" s="61" t="s">
        <v>587</v>
      </c>
      <c r="P122" s="38">
        <v>0.18029999999999999</v>
      </c>
      <c r="Q122" s="38">
        <f>P122*N122</f>
        <v>2.7044999999999999</v>
      </c>
      <c r="R122" s="37"/>
      <c r="S122" s="58"/>
    </row>
    <row r="123" spans="1:19" s="60" customFormat="1" x14ac:dyDescent="0.25">
      <c r="A123" s="59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37">
        <f t="shared" si="30"/>
        <v>10</v>
      </c>
      <c r="N123" s="37">
        <v>15</v>
      </c>
      <c r="O123" s="61" t="s">
        <v>587</v>
      </c>
      <c r="P123" s="51">
        <v>0.26590000000000003</v>
      </c>
      <c r="Q123" s="51">
        <f t="shared" ref="Q123:Q124" si="51">P123*N123</f>
        <v>3.9885000000000002</v>
      </c>
      <c r="R123" s="50"/>
      <c r="S123" s="58"/>
    </row>
    <row r="124" spans="1:19" s="60" customFormat="1" ht="48" x14ac:dyDescent="0.25">
      <c r="A124" s="59"/>
      <c r="B124" s="47">
        <f t="shared" si="0"/>
        <v>115</v>
      </c>
      <c r="C124" s="53" t="s">
        <v>614</v>
      </c>
      <c r="D124" s="50" t="s">
        <v>588</v>
      </c>
      <c r="E124" s="50" t="s">
        <v>648</v>
      </c>
      <c r="F124" s="50" t="s">
        <v>588</v>
      </c>
      <c r="G124" s="50" t="s">
        <v>615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37">
        <f t="shared" si="30"/>
        <v>10</v>
      </c>
      <c r="N124" s="50">
        <v>10</v>
      </c>
      <c r="O124" s="61" t="s">
        <v>619</v>
      </c>
      <c r="P124" s="51">
        <v>2.5</v>
      </c>
      <c r="Q124" s="51">
        <f t="shared" si="51"/>
        <v>25</v>
      </c>
      <c r="R124" s="50"/>
      <c r="S124" s="58"/>
    </row>
    <row r="125" spans="1:19" s="60" customFormat="1" ht="24" x14ac:dyDescent="0.25">
      <c r="A125" s="59"/>
      <c r="B125" s="47">
        <f t="shared" ref="B125:B126" si="52">ROW(B125) - ROW($B$9)</f>
        <v>116</v>
      </c>
      <c r="C125" s="53" t="s">
        <v>614</v>
      </c>
      <c r="D125" s="50" t="s">
        <v>588</v>
      </c>
      <c r="E125" s="50" t="s">
        <v>618</v>
      </c>
      <c r="F125" s="50" t="s">
        <v>588</v>
      </c>
      <c r="G125" s="50" t="s">
        <v>616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37">
        <f t="shared" si="30"/>
        <v>10</v>
      </c>
      <c r="N125" s="37">
        <v>15</v>
      </c>
      <c r="O125" s="61"/>
      <c r="P125" s="51"/>
      <c r="Q125" s="51"/>
      <c r="R125" s="65" t="s">
        <v>649</v>
      </c>
      <c r="S125" s="58"/>
    </row>
    <row r="126" spans="1:19" s="60" customFormat="1" ht="24.75" thickBot="1" x14ac:dyDescent="0.3">
      <c r="A126" s="59"/>
      <c r="B126" s="47">
        <f t="shared" si="52"/>
        <v>117</v>
      </c>
      <c r="C126" s="53" t="s">
        <v>614</v>
      </c>
      <c r="D126" s="50" t="s">
        <v>588</v>
      </c>
      <c r="E126" s="50" t="s">
        <v>618</v>
      </c>
      <c r="F126" s="50" t="s">
        <v>588</v>
      </c>
      <c r="G126" s="50" t="s">
        <v>617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37">
        <f t="shared" si="30"/>
        <v>10</v>
      </c>
      <c r="N126" s="50">
        <v>15</v>
      </c>
      <c r="O126" s="61"/>
      <c r="P126" s="51"/>
      <c r="Q126" s="51"/>
      <c r="R126" s="65" t="s">
        <v>649</v>
      </c>
      <c r="S126" s="58"/>
    </row>
    <row r="127" spans="1:19" ht="19.5" thickBot="1" x14ac:dyDescent="0.3">
      <c r="A127" s="1"/>
      <c r="B127" s="40"/>
      <c r="C127" s="41"/>
      <c r="D127" s="42"/>
      <c r="E127" s="43"/>
      <c r="F127" s="44"/>
      <c r="G127" s="45"/>
      <c r="H127" s="44"/>
      <c r="I127" s="45"/>
      <c r="J127" s="44"/>
      <c r="K127" s="45"/>
      <c r="L127" s="45"/>
      <c r="M127" s="45"/>
      <c r="N127" s="77" t="s">
        <v>5</v>
      </c>
      <c r="O127" s="78"/>
      <c r="P127" s="78"/>
      <c r="Q127" s="48">
        <f>SUM(Q11:Q126)</f>
        <v>628.29500000000007</v>
      </c>
      <c r="R127" s="45"/>
      <c r="S127" s="45"/>
    </row>
    <row r="128" spans="1:19" ht="19.5" thickBot="1" x14ac:dyDescent="0.3">
      <c r="A128" s="1"/>
      <c r="B128" s="25"/>
      <c r="C128" s="36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77" t="s">
        <v>6</v>
      </c>
      <c r="O128" s="78"/>
      <c r="P128" s="78"/>
      <c r="Q128" s="49">
        <f>Q127/10</f>
        <v>62.82950000000001</v>
      </c>
      <c r="R128" s="10"/>
      <c r="S128" s="10"/>
    </row>
    <row r="129" spans="1:1" x14ac:dyDescent="0.25">
      <c r="A129" s="1"/>
    </row>
    <row r="130" spans="1:1" x14ac:dyDescent="0.25">
      <c r="A130" s="1"/>
    </row>
  </sheetData>
  <mergeCells count="4">
    <mergeCell ref="N127:P127"/>
    <mergeCell ref="N128:P128"/>
    <mergeCell ref="K1:S1"/>
    <mergeCell ref="S3:S8"/>
  </mergeCells>
  <hyperlinks>
    <hyperlink ref="O12" r:id="rId1"/>
    <hyperlink ref="O10" r:id="rId2"/>
    <hyperlink ref="O13" r:id="rId3"/>
    <hyperlink ref="O14" r:id="rId4"/>
    <hyperlink ref="O22" r:id="rId5"/>
    <hyperlink ref="O16" r:id="rId6"/>
    <hyperlink ref="O17" r:id="rId7"/>
    <hyperlink ref="O19" r:id="rId8"/>
    <hyperlink ref="O20" r:id="rId9"/>
    <hyperlink ref="O21" r:id="rId10"/>
    <hyperlink ref="O23" r:id="rId11"/>
    <hyperlink ref="O24" r:id="rId12"/>
    <hyperlink ref="O15" r:id="rId13"/>
    <hyperlink ref="O25" r:id="rId14"/>
    <hyperlink ref="O26" r:id="rId15"/>
    <hyperlink ref="O27" r:id="rId16"/>
    <hyperlink ref="O29" r:id="rId17"/>
    <hyperlink ref="O30" r:id="rId18"/>
    <hyperlink ref="O31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50" r:id="rId36"/>
    <hyperlink ref="O49" r:id="rId37"/>
    <hyperlink ref="O51" r:id="rId38"/>
    <hyperlink ref="O54" r:id="rId39"/>
    <hyperlink ref="O56" r:id="rId40"/>
    <hyperlink ref="O57" r:id="rId41"/>
    <hyperlink ref="O58" r:id="rId42"/>
    <hyperlink ref="O59" r:id="rId43"/>
    <hyperlink ref="O60" r:id="rId44"/>
    <hyperlink ref="O64" r:id="rId45"/>
    <hyperlink ref="O63" r:id="rId46"/>
    <hyperlink ref="O65" r:id="rId47"/>
    <hyperlink ref="O66" r:id="rId48"/>
    <hyperlink ref="O67" r:id="rId49"/>
    <hyperlink ref="O68" r:id="rId50"/>
    <hyperlink ref="O69" r:id="rId51"/>
    <hyperlink ref="O70" r:id="rId52"/>
    <hyperlink ref="O73" r:id="rId53"/>
    <hyperlink ref="O74" r:id="rId54"/>
    <hyperlink ref="O71" r:id="rId55"/>
    <hyperlink ref="O75" r:id="rId56"/>
    <hyperlink ref="O76" r:id="rId57"/>
    <hyperlink ref="O77" r:id="rId58"/>
    <hyperlink ref="O78" r:id="rId59"/>
    <hyperlink ref="O79" r:id="rId60"/>
    <hyperlink ref="O80" r:id="rId61"/>
    <hyperlink ref="O81" r:id="rId62"/>
    <hyperlink ref="O82" r:id="rId63"/>
    <hyperlink ref="O83" r:id="rId64"/>
    <hyperlink ref="O85" r:id="rId65"/>
    <hyperlink ref="O84" r:id="rId66"/>
    <hyperlink ref="O72" r:id="rId67"/>
    <hyperlink ref="O86" r:id="rId68"/>
    <hyperlink ref="O88" r:id="rId69"/>
    <hyperlink ref="O89" r:id="rId70"/>
    <hyperlink ref="O90" r:id="rId71"/>
    <hyperlink ref="O91" r:id="rId72"/>
    <hyperlink ref="O92" r:id="rId73"/>
    <hyperlink ref="O93" r:id="rId74"/>
    <hyperlink ref="O94" r:id="rId75"/>
    <hyperlink ref="O95" r:id="rId76"/>
    <hyperlink ref="O96" r:id="rId77"/>
    <hyperlink ref="O97" r:id="rId78"/>
    <hyperlink ref="O98" r:id="rId79"/>
    <hyperlink ref="O102" r:id="rId80"/>
    <hyperlink ref="O103" r:id="rId81"/>
    <hyperlink ref="O104" r:id="rId82"/>
    <hyperlink ref="O105" r:id="rId83"/>
    <hyperlink ref="O106" r:id="rId84"/>
    <hyperlink ref="O108" r:id="rId85"/>
    <hyperlink ref="O111" r:id="rId86"/>
    <hyperlink ref="O112" r:id="rId87"/>
    <hyperlink ref="O113" r:id="rId88"/>
    <hyperlink ref="O114" r:id="rId89"/>
    <hyperlink ref="O115" r:id="rId90"/>
    <hyperlink ref="O116" r:id="rId91"/>
    <hyperlink ref="O118" r:id="rId92"/>
    <hyperlink ref="O119" r:id="rId93"/>
    <hyperlink ref="O120" r:id="rId94"/>
    <hyperlink ref="O122" r:id="rId95"/>
    <hyperlink ref="O123" r:id="rId96"/>
    <hyperlink ref="O18" r:id="rId97"/>
    <hyperlink ref="O52" r:id="rId98"/>
    <hyperlink ref="O87" r:id="rId99"/>
    <hyperlink ref="O109" r:id="rId100"/>
    <hyperlink ref="O110" r:id="rId101"/>
    <hyperlink ref="O121" r:id="rId102"/>
    <hyperlink ref="O48" r:id="rId103"/>
    <hyperlink ref="O28" r:id="rId104"/>
    <hyperlink ref="O100" r:id="rId105"/>
    <hyperlink ref="O101" r:id="rId106"/>
    <hyperlink ref="O117" r:id="rId107"/>
    <hyperlink ref="O55" r:id="rId108"/>
    <hyperlink ref="O61" r:id="rId109"/>
    <hyperlink ref="O107" r:id="rId110"/>
    <hyperlink ref="O124" r:id="rId111"/>
  </hyperlinks>
  <pageMargins left="0.7" right="0.7" top="0.75" bottom="0.75" header="0.3" footer="0.3"/>
  <drawing r:id="rId1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2023-07-14T13:19:00Z</dcterms:modified>
</cp:coreProperties>
</file>