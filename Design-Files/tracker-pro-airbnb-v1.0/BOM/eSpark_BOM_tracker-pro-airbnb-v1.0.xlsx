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zlo-ambienttrackerpro-airbnb-hardware\Design-Files\tracker-pro-airbnb-v1.0\BOM\"/>
    </mc:Choice>
  </mc:AlternateContent>
  <bookViews>
    <workbookView xWindow="28680" yWindow="-120" windowWidth="29040" windowHeight="15840"/>
  </bookViews>
  <sheets>
    <sheet name="5 Boards" sheetId="1" r:id="rId1"/>
    <sheet name="10 Boards" sheetId="2" r:id="rId2"/>
  </sheets>
  <calcPr calcId="162913"/>
</workbook>
</file>

<file path=xl/calcChain.xml><?xml version="1.0" encoding="utf-8"?>
<calcChain xmlns="http://schemas.openxmlformats.org/spreadsheetml/2006/main">
  <c r="Q127" i="2" l="1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4" i="2"/>
  <c r="Q63" i="2"/>
  <c r="Q62" i="2"/>
  <c r="Q61" i="2"/>
  <c r="Q60" i="2"/>
  <c r="Q59" i="2"/>
  <c r="Q58" i="2"/>
  <c r="Q57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130" i="1"/>
  <c r="M130" i="1"/>
  <c r="Q131" i="2" l="1"/>
  <c r="Q132" i="2" s="1"/>
  <c r="M130" i="2"/>
  <c r="Q127" i="1"/>
  <c r="M129" i="1"/>
  <c r="M128" i="1"/>
  <c r="M127" i="1"/>
  <c r="B127" i="1"/>
  <c r="B128" i="1"/>
  <c r="B129" i="1"/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Q105" i="1" l="1"/>
  <c r="M105" i="1"/>
  <c r="B105" i="1"/>
  <c r="Q49" i="1"/>
  <c r="M49" i="1"/>
  <c r="B49" i="1"/>
  <c r="M10" i="2" l="1"/>
  <c r="Q126" i="1" l="1"/>
  <c r="M126" i="1"/>
  <c r="B126" i="1"/>
  <c r="Q125" i="1"/>
  <c r="M125" i="1"/>
  <c r="B125" i="1"/>
  <c r="Q124" i="1"/>
  <c r="M124" i="1"/>
  <c r="B124" i="1"/>
  <c r="Q123" i="1"/>
  <c r="M123" i="1"/>
  <c r="B123" i="1"/>
  <c r="Q122" i="1"/>
  <c r="M122" i="1"/>
  <c r="B122" i="1"/>
  <c r="Q121" i="1"/>
  <c r="M121" i="1"/>
  <c r="B121" i="1"/>
  <c r="Q120" i="1"/>
  <c r="M120" i="1"/>
  <c r="B120" i="1"/>
  <c r="Q119" i="1"/>
  <c r="M119" i="1"/>
  <c r="B119" i="1"/>
  <c r="Q118" i="1"/>
  <c r="M118" i="1"/>
  <c r="B118" i="1"/>
  <c r="Q117" i="1"/>
  <c r="M117" i="1"/>
  <c r="B117" i="1"/>
  <c r="Q116" i="1"/>
  <c r="M116" i="1"/>
  <c r="B116" i="1"/>
  <c r="Q115" i="1"/>
  <c r="M115" i="1"/>
  <c r="B115" i="1"/>
  <c r="Q114" i="1"/>
  <c r="M114" i="1"/>
  <c r="B114" i="1"/>
  <c r="Q113" i="1"/>
  <c r="M113" i="1"/>
  <c r="B113" i="1"/>
  <c r="Q112" i="1"/>
  <c r="M112" i="1"/>
  <c r="B112" i="1"/>
  <c r="Q111" i="1"/>
  <c r="M111" i="1"/>
  <c r="B111" i="1"/>
  <c r="Q110" i="1"/>
  <c r="M110" i="1"/>
  <c r="B110" i="1"/>
  <c r="Q109" i="1"/>
  <c r="M109" i="1"/>
  <c r="B109" i="1"/>
  <c r="Q108" i="1"/>
  <c r="M108" i="1"/>
  <c r="B108" i="1"/>
  <c r="Q107" i="1"/>
  <c r="M107" i="1"/>
  <c r="B107" i="1"/>
  <c r="Q106" i="1"/>
  <c r="M106" i="1"/>
  <c r="B106" i="1"/>
  <c r="M65" i="1"/>
  <c r="B65" i="1"/>
  <c r="Q104" i="1"/>
  <c r="M104" i="1"/>
  <c r="B104" i="1"/>
  <c r="Q103" i="1"/>
  <c r="M103" i="1"/>
  <c r="B103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Q95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75" i="1"/>
  <c r="M75" i="1"/>
  <c r="B75" i="1"/>
  <c r="Q87" i="1"/>
  <c r="M87" i="1"/>
  <c r="B87" i="1"/>
  <c r="Q88" i="1"/>
  <c r="M88" i="1"/>
  <c r="B88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M81" i="1"/>
  <c r="B81" i="1"/>
  <c r="Q80" i="1"/>
  <c r="M80" i="1"/>
  <c r="B80" i="1"/>
  <c r="Q79" i="1"/>
  <c r="M79" i="1"/>
  <c r="B79" i="1"/>
  <c r="Q78" i="1"/>
  <c r="M78" i="1"/>
  <c r="B78" i="1"/>
  <c r="Q74" i="1"/>
  <c r="M74" i="1"/>
  <c r="B74" i="1"/>
  <c r="Q77" i="1"/>
  <c r="M77" i="1"/>
  <c r="B77" i="1"/>
  <c r="Q76" i="1"/>
  <c r="M76" i="1"/>
  <c r="B76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M66" i="1"/>
  <c r="B66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25" i="1"/>
  <c r="M25" i="1"/>
  <c r="B25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31" i="1" l="1"/>
  <c r="Q11" i="1"/>
  <c r="Q10" i="1"/>
  <c r="M11" i="1"/>
  <c r="M10" i="1"/>
  <c r="B11" i="1"/>
  <c r="B10" i="1"/>
  <c r="Q132" i="1" l="1"/>
</calcChain>
</file>

<file path=xl/sharedStrings.xml><?xml version="1.0" encoding="utf-8"?>
<sst xmlns="http://schemas.openxmlformats.org/spreadsheetml/2006/main" count="2364" uniqueCount="674">
  <si>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</si>
  <si>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</si>
  <si>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</si>
  <si>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</si>
  <si>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</si>
  <si>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</si>
  <si>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</si>
  <si>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</si>
  <si>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</si>
  <si>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</si>
  <si>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</si>
  <si>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</si>
  <si>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Ferrite Bead</t>
  </si>
  <si>
    <t>USB Connector</t>
  </si>
  <si>
    <t>Wire To Wire Connector</t>
  </si>
  <si>
    <t>FPC Connector</t>
  </si>
  <si>
    <t>R/A Male Blade Header</t>
  </si>
  <si>
    <t>Wire to Wire Connector</t>
  </si>
  <si>
    <t>Header</t>
  </si>
  <si>
    <t>Male Header</t>
  </si>
  <si>
    <t>Pogo Connector</t>
  </si>
  <si>
    <t>Connector</t>
  </si>
  <si>
    <t>Ethernet Connector</t>
  </si>
  <si>
    <t>Right Angle JST</t>
  </si>
  <si>
    <t>Inductor</t>
  </si>
  <si>
    <t>LED</t>
  </si>
  <si>
    <t>Mosfet</t>
  </si>
  <si>
    <t>Resistor</t>
  </si>
  <si>
    <t>Resistor Array</t>
  </si>
  <si>
    <t>Solder Bridge</t>
  </si>
  <si>
    <t>Switch</t>
  </si>
  <si>
    <t>IC</t>
  </si>
  <si>
    <t>Gas Sensor</t>
  </si>
  <si>
    <t>(CO) Sensor</t>
  </si>
  <si>
    <t>Temperature Sensor</t>
  </si>
  <si>
    <t>Module</t>
  </si>
  <si>
    <t>TVS Diode</t>
  </si>
  <si>
    <t>Crystal</t>
  </si>
  <si>
    <t>Designator</t>
  </si>
  <si>
    <t>C1, C4, C6, C10, C14, C36</t>
  </si>
  <si>
    <t>C2</t>
  </si>
  <si>
    <t>C18, C20, C25, C26, C30, C31</t>
  </si>
  <si>
    <t>C19</t>
  </si>
  <si>
    <t>C21, C22</t>
  </si>
  <si>
    <t>C23</t>
  </si>
  <si>
    <t>C37, C45, C47</t>
  </si>
  <si>
    <t>C38</t>
  </si>
  <si>
    <t>C39, C68, C76</t>
  </si>
  <si>
    <t>C40, C46</t>
  </si>
  <si>
    <t>C41, C44</t>
  </si>
  <si>
    <t>C43</t>
  </si>
  <si>
    <t>C52</t>
  </si>
  <si>
    <t>C58</t>
  </si>
  <si>
    <t>C62</t>
  </si>
  <si>
    <t>C63, C71</t>
  </si>
  <si>
    <t>C64</t>
  </si>
  <si>
    <t>C65, C66</t>
  </si>
  <si>
    <t>C67</t>
  </si>
  <si>
    <t>C69, C70</t>
  </si>
  <si>
    <t>C72, C84</t>
  </si>
  <si>
    <t>C74, C80, C85</t>
  </si>
  <si>
    <t>C75</t>
  </si>
  <si>
    <t>C78</t>
  </si>
  <si>
    <t>D1</t>
  </si>
  <si>
    <t>D2</t>
  </si>
  <si>
    <t>D3, D8</t>
  </si>
  <si>
    <t>D4</t>
  </si>
  <si>
    <t>D5</t>
  </si>
  <si>
    <t>D6</t>
  </si>
  <si>
    <t>D7</t>
  </si>
  <si>
    <t>FB1, FB3, FB4, FB7, FB8</t>
  </si>
  <si>
    <t>FB2, FB5, FB6</t>
  </si>
  <si>
    <t>FB9, FB10</t>
  </si>
  <si>
    <t>J1</t>
  </si>
  <si>
    <t>J3</t>
  </si>
  <si>
    <t>J4</t>
  </si>
  <si>
    <t>J5</t>
  </si>
  <si>
    <t>J6</t>
  </si>
  <si>
    <t>J7</t>
  </si>
  <si>
    <t>J8, J10, J11</t>
  </si>
  <si>
    <t>J9</t>
  </si>
  <si>
    <t>J12</t>
  </si>
  <si>
    <t>J13</t>
  </si>
  <si>
    <t>L1</t>
  </si>
  <si>
    <t>L2</t>
  </si>
  <si>
    <t>L3</t>
  </si>
  <si>
    <t>LED1</t>
  </si>
  <si>
    <t>LED2, LED3</t>
  </si>
  <si>
    <t>LED4</t>
  </si>
  <si>
    <t>Q1</t>
  </si>
  <si>
    <t>Q2</t>
  </si>
  <si>
    <t>Q3</t>
  </si>
  <si>
    <t>Q4, Q6</t>
  </si>
  <si>
    <t>Q5</t>
  </si>
  <si>
    <t>Q7</t>
  </si>
  <si>
    <t>R1, R21, R22, R70</t>
  </si>
  <si>
    <t>R2, R3</t>
  </si>
  <si>
    <t>R7, R28</t>
  </si>
  <si>
    <t>R9</t>
  </si>
  <si>
    <t>R14</t>
  </si>
  <si>
    <t>R15</t>
  </si>
  <si>
    <t>R16</t>
  </si>
  <si>
    <t>R17</t>
  </si>
  <si>
    <t>R18</t>
  </si>
  <si>
    <t>R19</t>
  </si>
  <si>
    <t>R20</t>
  </si>
  <si>
    <t>R26</t>
  </si>
  <si>
    <t>R29</t>
  </si>
  <si>
    <t>R37, R38, R52</t>
  </si>
  <si>
    <t>R45</t>
  </si>
  <si>
    <t>R46</t>
  </si>
  <si>
    <t>R47</t>
  </si>
  <si>
    <t>R48, R49</t>
  </si>
  <si>
    <t>R50</t>
  </si>
  <si>
    <t>R51, R53, R58, R59</t>
  </si>
  <si>
    <t>R54</t>
  </si>
  <si>
    <t>R60</t>
  </si>
  <si>
    <t>R61, R62, R63, R64</t>
  </si>
  <si>
    <t>R65</t>
  </si>
  <si>
    <t>R66</t>
  </si>
  <si>
    <t>R67</t>
  </si>
  <si>
    <t>RN1, RN2, RN3</t>
  </si>
  <si>
    <t>SW1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</si>
  <si>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</si>
  <si>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</si>
  <si>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</si>
  <si>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</si>
  <si>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</si>
  <si>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</si>
  <si>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</si>
  <si>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</si>
  <si>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</si>
  <si>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</si>
  <si>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U11</t>
  </si>
  <si>
    <t>U12</t>
  </si>
  <si>
    <t>U13</t>
  </si>
  <si>
    <t>U18</t>
  </si>
  <si>
    <t>U19</t>
  </si>
  <si>
    <t>U20</t>
  </si>
  <si>
    <t>U21</t>
  </si>
  <si>
    <t>U22</t>
  </si>
  <si>
    <t>U23</t>
  </si>
  <si>
    <t>X1</t>
  </si>
  <si>
    <t>X2</t>
  </si>
  <si>
    <t>X3</t>
  </si>
  <si>
    <t>Description</t>
  </si>
  <si>
    <t>CAP CER 10UF 10V X5R 0603</t>
  </si>
  <si>
    <t>CAP CER 4700PF 1KV X7R 1206</t>
  </si>
  <si>
    <t>CAP CER 0.1UF 10V X5R 0402</t>
  </si>
  <si>
    <t>CAP CER 0.1UF 50V X5R 0402</t>
  </si>
  <si>
    <t>CAP CER 10UF 10V X5R 0402</t>
  </si>
  <si>
    <t>CAP TANT 100UF 20% 10V 1411</t>
  </si>
  <si>
    <t>25V 22uF X5R ±20% 0805 Multilayer Ceramic Capacitors MLCC - SMD/SMT ROHS</t>
  </si>
  <si>
    <t>CAP CER 1UF 10V X5R 0402</t>
  </si>
  <si>
    <t>CAP CER 0.1UF 50V X5R 0603</t>
  </si>
  <si>
    <t>CAP CER 15PF 50V C0G/NPO 0603</t>
  </si>
  <si>
    <t>CAP CER 10000PF 50V C0G/NPO 0603</t>
  </si>
  <si>
    <t>CAP CER 10PF 25V C0G 0201</t>
  </si>
  <si>
    <t>CAP CER 20PF 50V C0G/NPO 0603</t>
  </si>
  <si>
    <t>10uF 10V 8Ω@100kHz ±10% CASE-A-3216 Tantalum Capacitors ROHS</t>
  </si>
  <si>
    <t>CAP CER 2.2UF 50V X5R 0805</t>
  </si>
  <si>
    <t>CAP CER 22UF 10V X5R 0603</t>
  </si>
  <si>
    <t>CAP CER 1000PF 2KV X7R 1206</t>
  </si>
  <si>
    <t>CAP CER 0.1UF 100V X7R 0603</t>
  </si>
  <si>
    <t>CAP CER 0.022UF 50V X7R 0603</t>
  </si>
  <si>
    <t>50V 6.8nF X7R ±10% 0603</t>
  </si>
  <si>
    <t>CAP CER 22UF 25V X5R 0805</t>
  </si>
  <si>
    <t>CAP CER 10UF 16V X5R 0603</t>
  </si>
  <si>
    <t>CAP CER 12PF 50V C0G/NPO 0603</t>
  </si>
  <si>
    <t>CAP CER 4.7UF 10V X5R 0603</t>
  </si>
  <si>
    <t>ESD Suppressor TVS 5.5V 4-Pin(3+Tab) SOT-143 T/R</t>
  </si>
  <si>
    <t>SOD-123FL Schottky Barrier Diodes (SBD) ROHS</t>
  </si>
  <si>
    <t>0.5mA@40V 40V Single 3A 0.55V@3A SMA(DO-214AC) Schottky Barrier Diodes (SBD) ROHS</t>
  </si>
  <si>
    <t>16A 20V 7V 5V@Max Unidirectional SOT-23 TVS ROHS</t>
  </si>
  <si>
    <t>93.6V 64.4V 58V SMA(DO-214AC) TVS ROHS</t>
  </si>
  <si>
    <t>SCHOTTKY DIODE SMB 100V 5A</t>
  </si>
  <si>
    <t>6V 2A 50A 1W -40℃~+85℃ 4A 4mΩ 5s 45mΩ 0805 Resettable Fuses ROHS</t>
  </si>
  <si>
    <t>FERRITE BEAD 120 OHM 0402 1LN</t>
  </si>
  <si>
    <t>FERRITE BEAD 120 OHM 0603 1LN</t>
  </si>
  <si>
    <t>100mΩ ±25% 600Ω@100MHz 0805 Ferrite Beads ROHS</t>
  </si>
  <si>
    <t>250mA 1 16 Female Type-C SMD USB Connectors ROHS</t>
  </si>
  <si>
    <t>CONN HEADER SMD R/A 7POS 1.25MM</t>
  </si>
  <si>
    <t>CONN HEADER SMD R/A 8POS 1.25MM</t>
  </si>
  <si>
    <t>CONN HEADER SMD R/A 5POS 1.5MM</t>
  </si>
  <si>
    <t>2.54mm Plugin 3A bronze -40℃~+105℃ Straight 1x4P Top 4 Square Holes Plugin,P=2.54mm Female Headers ROHS</t>
  </si>
  <si>
    <t>CONN HEADER VERT 3POS 2.54MM</t>
  </si>
  <si>
    <t>Pogo Pad 2.5mm 4 Pin</t>
  </si>
  <si>
    <t>1x6P SH 1 1mm 6 SMD,P=1mm Wire To Board / Wire To Wire Connector ROHS</t>
  </si>
  <si>
    <t>Single Port RJ45 Connector with Integrated Magnetics and LED for 10/100Base-TX PoE application</t>
  </si>
  <si>
    <t>1x2P 1 2mm Male pin 2 -25℃~+85℃ 2A Surface Mount SMD,P=2mm Wire To Board / Wire To Wire Connector ROHS</t>
  </si>
  <si>
    <t>FIXED IND 10UH 1A 540 MOHM SMD</t>
  </si>
  <si>
    <t>22uH ±20% SMD Power Inductors ROHS</t>
  </si>
  <si>
    <t>3A 33uH ±20% 64.8mΩ SMD,12.3x12.3mm Inductors (SMD) ROHS</t>
  </si>
  <si>
    <t>Emerald 0603 Light Emitting Diodes (LED) ROHS</t>
  </si>
  <si>
    <t>RED LED 0603 Light Emitting Diodes</t>
  </si>
  <si>
    <t>LED GREEN CLEAR CHIP SMD</t>
  </si>
  <si>
    <t>SOT-23-3 MOSFETs ROHS</t>
  </si>
  <si>
    <t>40V 100mW 100@10mA,1V 200mA 300MHz 300mV@50mA,5mA NPN -55℃~+150℃@(Tj) SOT-723 Bipolar Transistors - BJT ROHS</t>
  </si>
  <si>
    <t>20V 2.2A 800mW 110mΩ@4.5V,2.7A 810mV@250uA P Channel SOT-23 MOSFETs ROHS</t>
  </si>
  <si>
    <t>N-CHANNEL 20-V (D-S) MOSFET</t>
  </si>
  <si>
    <t>NPN 246mW 100mA 50V SOT-23 Digital Transistors ROHS</t>
  </si>
  <si>
    <t>RES SMD 1M OHM 1% 1/10W 0603</t>
  </si>
  <si>
    <t>RES 5.1K OHM 1% 1/16W 0402</t>
  </si>
  <si>
    <t>RES 1.2K OHM 1% 1/16W 0402</t>
  </si>
  <si>
    <t>RES 3.3K OHM 1% 1/16W 0402</t>
  </si>
  <si>
    <t>RES 10K OHM 1% 1/16W 0402</t>
  </si>
  <si>
    <t>RES SMD 8.2K OHM 0.1% 1/10W 0603</t>
  </si>
  <si>
    <t>RES SMD 62K OHM 0.1% 1/10W 0603</t>
  </si>
  <si>
    <t>RES 820 OHM 1% 1/10W 0603</t>
  </si>
  <si>
    <t>RES SMD 0R, 1%, 0.1W, 0603</t>
  </si>
  <si>
    <t>RES 27 OHM 1% 1/10W 0603</t>
  </si>
  <si>
    <t>RES 130 OHM 1% 1/10W 0603</t>
  </si>
  <si>
    <t>RES 15K OHM 1% 1/10W 0603</t>
  </si>
  <si>
    <t>RES SMD 100 OHM 1% 1/10W 0603</t>
  </si>
  <si>
    <t>RES SMD 10K Ohm 1% 1/10W 0603</t>
  </si>
  <si>
    <t>RES SMD 4.7K OHM 1% 1/10W 0603</t>
  </si>
  <si>
    <t>RES SMD 1K OHM 1% 1/10W 0603</t>
  </si>
  <si>
    <t>RES 180K OHM 1% 1/10W 0603</t>
  </si>
  <si>
    <t>RES SMD 24.9K OHM 1% 1/5W 0402</t>
  </si>
  <si>
    <t>RES SMD 4.42K OHM 1% 1/10W 0603</t>
  </si>
  <si>
    <t>RES  SMD 330R 100 mW 0603</t>
  </si>
  <si>
    <t>RES SMD 10 OHM 1% 1/10W 0603</t>
  </si>
  <si>
    <t>RES 49.9 OHM 1% 1/10W 0603</t>
  </si>
  <si>
    <t>RES 0.03 OHM 1% 1/2W 0805</t>
  </si>
  <si>
    <t>RES 4.7 OHM 1% 1/10W 0603</t>
  </si>
  <si>
    <t>RES SMD 0603 33 Ohm 1% 1/10W</t>
  </si>
  <si>
    <t>RES SMD 301 OHM 0.1% 1/10W 0603</t>
  </si>
  <si>
    <t>RES SMD 57.6KOHM 0.1% 1/10W 0603</t>
  </si>
  <si>
    <t>RES SMD 12.4K OHM 1% 1/10W 0603</t>
  </si>
  <si>
    <t>RES ARRAY 4 RES 10K OHM 1206</t>
  </si>
  <si>
    <t>Solder Bridge ON</t>
  </si>
  <si>
    <t>Test Point ON</t>
  </si>
  <si>
    <t>300mA 80dB@(1kHz) 305mV@(300mA) Fixed 3.3V~3.3V Positive 1 5.5V SOT-25-5 Linear Voltage Regulators (LDO) ROHS</t>
  </si>
  <si>
    <t>300mA 80dB@(1kHz) 410mV@(300mA) Fixed 1.8V~1.8V Positive 1 5.5V SOT-25-5 Linear Voltage Regulators (LDO) ROHS</t>
  </si>
  <si>
    <t>75dB@(120Hz) 1A Fixed 3.3V~3.3V Positive 15V SOT-89-3 Linear Voltage Regulators (LDO) ROHS</t>
  </si>
  <si>
    <t>ESOP-8 Battery Management ICs ROHS</t>
  </si>
  <si>
    <t>1.6-V TO 5.5-V, 40-M, 2.5-A, LOW</t>
  </si>
  <si>
    <t>boost converterType 1 Boost 28V 2V~24V 1.2MHz SOT-23-6 DC-DC Converters ROHS</t>
  </si>
  <si>
    <t>Digital Metal-Oxide Multi-Gas Sensor</t>
  </si>
  <si>
    <t>CO/NO2/NH3 Triple Gas Sensor Metaloxide Gas Detection Sensor SMD T/R</t>
  </si>
  <si>
    <t>SENSOR RH PRESSURE TEMP VOC</t>
  </si>
  <si>
    <t>IC TRANSLATOR BIDIR 20TSSOP</t>
  </si>
  <si>
    <t>IC REG LINEAR 3.3V 200MA 6DFN</t>
  </si>
  <si>
    <t>IC MCU 32BIT 256KB FLASH 64LQFP</t>
  </si>
  <si>
    <t>SMD MODULE, ESP32-S3R8 WITH 3.3V</t>
  </si>
  <si>
    <t>IC ADC 12BIT SIGMA-DELTA 10VSSOP</t>
  </si>
  <si>
    <t>TVS DIODE 5.5VWM 8.5VC SOT23-5</t>
  </si>
  <si>
    <t>Step-down type SOIC-8-EP DC-DC Converters ROHS</t>
  </si>
  <si>
    <t>SPI LQFP-48(7x7) Ethernet ICs ROHS</t>
  </si>
  <si>
    <t>8MHz 20pF ±10ppm ±50ppm SMD5032-2P Crystals ROHS</t>
  </si>
  <si>
    <t>CRYSTAL 25.0000MHZ 12PF SMD</t>
  </si>
  <si>
    <t>Footprint</t>
  </si>
  <si>
    <t>Cap-0603</t>
  </si>
  <si>
    <t>Cap-1206</t>
  </si>
  <si>
    <t>Cap-0402</t>
  </si>
  <si>
    <t>Case-B</t>
  </si>
  <si>
    <t>Cap-0805</t>
  </si>
  <si>
    <t>CAP 0201</t>
  </si>
  <si>
    <t>Case-A</t>
  </si>
  <si>
    <t>SOT-143-4_</t>
  </si>
  <si>
    <t>SOD-123FL</t>
  </si>
  <si>
    <t>SMA</t>
  </si>
  <si>
    <t>Sot-23</t>
  </si>
  <si>
    <t>SMB_</t>
  </si>
  <si>
    <t>Fuse-0805</t>
  </si>
  <si>
    <t>IND-0402</t>
  </si>
  <si>
    <t>IND-0603 (1608 Metric)</t>
  </si>
  <si>
    <t>Ind-0805</t>
  </si>
  <si>
    <t>53261-0771</t>
  </si>
  <si>
    <t>53261-0871</t>
  </si>
  <si>
    <t>S5B-ZR-SM4A-TF(LF)(SN)</t>
  </si>
  <si>
    <t>HDR1X4 Female</t>
  </si>
  <si>
    <t>HDR1X3_</t>
  </si>
  <si>
    <t>Pogo 4 Pin</t>
  </si>
  <si>
    <t>HR861153C</t>
  </si>
  <si>
    <t>WAFER-PH2.0-2PWB</t>
  </si>
  <si>
    <t>IND-1008 (2520 Metric)</t>
  </si>
  <si>
    <t>SMRH74-220MT</t>
  </si>
  <si>
    <t>CYH127-33UH</t>
  </si>
  <si>
    <t>LED-0603</t>
  </si>
  <si>
    <t>LED-0402</t>
  </si>
  <si>
    <t>SOT-23</t>
  </si>
  <si>
    <t>SOT-723</t>
  </si>
  <si>
    <t>Res-0603</t>
  </si>
  <si>
    <t>Res-0402</t>
  </si>
  <si>
    <t>RES-0805</t>
  </si>
  <si>
    <t>YC164-FR-0710KL</t>
  </si>
  <si>
    <t>Solder Bridge 0402</t>
  </si>
  <si>
    <t>TEST POINT</t>
  </si>
  <si>
    <t>SOT-25-5</t>
  </si>
  <si>
    <t>SOT-89-3</t>
  </si>
  <si>
    <t>ESOP-8</t>
  </si>
  <si>
    <t>SOT-583</t>
  </si>
  <si>
    <t>SOT-23-6</t>
  </si>
  <si>
    <t>ENS160-BGLT</t>
  </si>
  <si>
    <t>MICS-6814</t>
  </si>
  <si>
    <t>BME680</t>
  </si>
  <si>
    <t>TSSOP-20</t>
  </si>
  <si>
    <t>6-DFN (1.2x1.3)</t>
  </si>
  <si>
    <t>64-LQFP (10x10)</t>
  </si>
  <si>
    <t>41-SMD Module</t>
  </si>
  <si>
    <t>VSSOP-10</t>
  </si>
  <si>
    <t>SOT-23-5</t>
  </si>
  <si>
    <t>8-SOIC-EP</t>
  </si>
  <si>
    <t>48-LQFP (7x7)_</t>
  </si>
  <si>
    <t>SMD5032-2P</t>
  </si>
  <si>
    <t>Q22FA12800090</t>
  </si>
  <si>
    <t>Manufacturer Part Number</t>
  </si>
  <si>
    <t>CC0603KRX5R6BB106</t>
  </si>
  <si>
    <t>CC1206KKX7RCBB472</t>
  </si>
  <si>
    <t>CC0402KRX5R6BB104</t>
  </si>
  <si>
    <t>C1005X5R1H104K050BB</t>
  </si>
  <si>
    <t>CC0402MRX5R6BB106</t>
  </si>
  <si>
    <t>TAJB107M010RNJ</t>
  </si>
  <si>
    <t>CS2012X5R226M250NRE</t>
  </si>
  <si>
    <t>CC0402KRX5R6BB105</t>
  </si>
  <si>
    <t>CC0603KRX5R9BB104</t>
  </si>
  <si>
    <t>CC0603JRNPO9BN150</t>
  </si>
  <si>
    <t>CC0603JRNPO9BN103</t>
  </si>
  <si>
    <t>CGA1A2C0G1E100D030BA</t>
  </si>
  <si>
    <t>CC0603JRNPO9BN200</t>
  </si>
  <si>
    <t>CA45-A-10V-10uF-K</t>
  </si>
  <si>
    <t>CC0805KKX5R9BB225</t>
  </si>
  <si>
    <t>CC0603MRX5R6BB226</t>
  </si>
  <si>
    <t>CC1206KKX7RDBB102</t>
  </si>
  <si>
    <t>CC0603KRX7R0BB104</t>
  </si>
  <si>
    <t>CC0603KRX7R9BB223</t>
  </si>
  <si>
    <t>0603B682K500NT</t>
  </si>
  <si>
    <t>CC0805MKX5R8BB226</t>
  </si>
  <si>
    <t>CC0603KRX5R7BB106</t>
  </si>
  <si>
    <t>CC0603KRX5R6BB475</t>
  </si>
  <si>
    <t>SP0503BAHTG</t>
  </si>
  <si>
    <t>PMEG4030ER</t>
  </si>
  <si>
    <t>SS34</t>
  </si>
  <si>
    <t>ESD5302F-3/TR</t>
  </si>
  <si>
    <t>SMAJ58A</t>
  </si>
  <si>
    <t>SS510B</t>
  </si>
  <si>
    <t>BSMD0805L-200</t>
  </si>
  <si>
    <t>BLM15PD121SN1D</t>
  </si>
  <si>
    <t>BLM18SG121TN1D</t>
  </si>
  <si>
    <t>CBM201209U601T</t>
  </si>
  <si>
    <t>TYPE-C-31-M-12</t>
  </si>
  <si>
    <t>C2718488</t>
  </si>
  <si>
    <t>POGO Connector 4 Pin</t>
  </si>
  <si>
    <t>C145963</t>
  </si>
  <si>
    <t>VLS252012HBX-100M-1</t>
  </si>
  <si>
    <t>NCD0603G2</t>
  </si>
  <si>
    <t>NCD0603R3</t>
  </si>
  <si>
    <t>XZVG68W-2</t>
  </si>
  <si>
    <t>SI2323DS</t>
  </si>
  <si>
    <t>MMBT3904M</t>
  </si>
  <si>
    <t>WPM2015-3/TR</t>
  </si>
  <si>
    <t>SI2302CDS</t>
  </si>
  <si>
    <t>LMUN2211LT1G</t>
  </si>
  <si>
    <t>RC0603FR-071ML</t>
  </si>
  <si>
    <t>RC0402FR-075K1L</t>
  </si>
  <si>
    <t>RC0402FR-071K2L</t>
  </si>
  <si>
    <t>RC0402FR-073K3L</t>
  </si>
  <si>
    <t>RC0402FR-0710KL</t>
  </si>
  <si>
    <t>RT0603BRD078K2L</t>
  </si>
  <si>
    <t>RT0603BRD0762KL</t>
  </si>
  <si>
    <t>RC0603FR-07820RL</t>
  </si>
  <si>
    <t>RC0603FR-070RL</t>
  </si>
  <si>
    <t>RC0603FR-0727RL</t>
  </si>
  <si>
    <t>RC0603FR-07130RL</t>
  </si>
  <si>
    <t>RC0603FR-0715KL</t>
  </si>
  <si>
    <t>RC0603FR-07100RL</t>
  </si>
  <si>
    <t>RC0603FR-0710KL</t>
  </si>
  <si>
    <t>RC0603FR-074K7L</t>
  </si>
  <si>
    <t>RC0603FR-071KL</t>
  </si>
  <si>
    <t>RC0603FR-07180KL</t>
  </si>
  <si>
    <t>RCS040224K9FKED</t>
  </si>
  <si>
    <t>AC0603FR-074K42L</t>
  </si>
  <si>
    <t>RC0603JR-07330RL</t>
  </si>
  <si>
    <t>RC0603FR-0710RL</t>
  </si>
  <si>
    <t>RC0603FR-0749R9L</t>
  </si>
  <si>
    <t>PE0805FRF470R03L</t>
  </si>
  <si>
    <t>RC0603FR-074R7L</t>
  </si>
  <si>
    <t>RC0603FR-0733RL</t>
  </si>
  <si>
    <t>RT0603BRE07301RL</t>
  </si>
  <si>
    <t>RT0603BRE0757K6L</t>
  </si>
  <si>
    <t>RC0603FR-0712K4L</t>
  </si>
  <si>
    <t>XC6228D332VR-G</t>
  </si>
  <si>
    <t>XC6228D182VR-G</t>
  </si>
  <si>
    <t>LD1117AG-33-AB3-A-R</t>
  </si>
  <si>
    <t>TP4056-42-ESOP8</t>
  </si>
  <si>
    <t>TPS2116DRLR</t>
  </si>
  <si>
    <t>MT3608</t>
  </si>
  <si>
    <t>TXS0108EPWR</t>
  </si>
  <si>
    <t>LDK120PU33R</t>
  </si>
  <si>
    <t>STM32F446RCT6</t>
  </si>
  <si>
    <t>ESP32-S3-WROOM-1-N16R8</t>
  </si>
  <si>
    <t>ADS1015IDGSR</t>
  </si>
  <si>
    <t>SP0504BAHTG</t>
  </si>
  <si>
    <t>TX4138</t>
  </si>
  <si>
    <t>W5500</t>
  </si>
  <si>
    <t>X50328MSB2GI</t>
  </si>
  <si>
    <t>Manufacturer</t>
  </si>
  <si>
    <t>Yageo</t>
  </si>
  <si>
    <t>TDK</t>
  </si>
  <si>
    <t>Kyocera AVX</t>
  </si>
  <si>
    <t>Samwha</t>
  </si>
  <si>
    <t>CEC(Shenzhen Zhenhua XinYun Elec)</t>
  </si>
  <si>
    <t>FH</t>
  </si>
  <si>
    <t>Littelfuse</t>
  </si>
  <si>
    <t>Shikues</t>
  </si>
  <si>
    <t>MDD</t>
  </si>
  <si>
    <t>WILLSEMI</t>
  </si>
  <si>
    <t>Yangzhou Yangjie Elec Tech</t>
  </si>
  <si>
    <t>BHFUSE</t>
  </si>
  <si>
    <t>Murata</t>
  </si>
  <si>
    <t>Korean Hroparts Elec</t>
  </si>
  <si>
    <t>Molex</t>
  </si>
  <si>
    <t>JUSHUO</t>
  </si>
  <si>
    <t>JST</t>
  </si>
  <si>
    <t>BOOMELE</t>
  </si>
  <si>
    <t>Wurth Electronics</t>
  </si>
  <si>
    <t>Hanrun</t>
  </si>
  <si>
    <t>XUNPU</t>
  </si>
  <si>
    <t>SXN(Shun Xiang Nuo Elec)</t>
  </si>
  <si>
    <t>SHOU HAN</t>
  </si>
  <si>
    <t>Foshan NationStar Optoelectronics</t>
  </si>
  <si>
    <t>SunLED</t>
  </si>
  <si>
    <t>TECH PUBLIC</t>
  </si>
  <si>
    <t>LRC</t>
  </si>
  <si>
    <t>Vishay Dale</t>
  </si>
  <si>
    <t>YAGEO</t>
  </si>
  <si>
    <t>Torex Semicon</t>
  </si>
  <si>
    <t>UTC</t>
  </si>
  <si>
    <t>TOPPOWER</t>
  </si>
  <si>
    <t>Texas Instruments</t>
  </si>
  <si>
    <t>XI'AN Aerosemi Tech</t>
  </si>
  <si>
    <t>ScioSense</t>
  </si>
  <si>
    <t>Amphenol</t>
  </si>
  <si>
    <t>Bosch Sensortec</t>
  </si>
  <si>
    <t>STMicroelectronics</t>
  </si>
  <si>
    <t>Espressif Systems</t>
  </si>
  <si>
    <t>XDS</t>
  </si>
  <si>
    <t>WIZNET</t>
  </si>
  <si>
    <t>Yangxing Tech</t>
  </si>
  <si>
    <t>Seiko Epson</t>
  </si>
  <si>
    <t>LCSC Part Number</t>
  </si>
  <si>
    <t>C326057</t>
  </si>
  <si>
    <t>C107198</t>
  </si>
  <si>
    <t>C129131</t>
  </si>
  <si>
    <t>C2181865</t>
  </si>
  <si>
    <t>C962143</t>
  </si>
  <si>
    <t>C7196</t>
  </si>
  <si>
    <t>C513764</t>
  </si>
  <si>
    <t>C106254</t>
  </si>
  <si>
    <t>C110022</t>
  </si>
  <si>
    <t>C107037</t>
  </si>
  <si>
    <t>C389113</t>
  </si>
  <si>
    <t>C105621</t>
  </si>
  <si>
    <t>C128253</t>
  </si>
  <si>
    <t>C326581</t>
  </si>
  <si>
    <t>C109447</t>
  </si>
  <si>
    <t>C23631</t>
  </si>
  <si>
    <t>C113803</t>
  </si>
  <si>
    <t>C106222</t>
  </si>
  <si>
    <t>C1631</t>
  </si>
  <si>
    <t>C784585</t>
  </si>
  <si>
    <t>C2936601</t>
  </si>
  <si>
    <t>C107034</t>
  </si>
  <si>
    <t>C109456</t>
  </si>
  <si>
    <t>C3029025</t>
  </si>
  <si>
    <t>C5366303</t>
  </si>
  <si>
    <t>C8678</t>
  </si>
  <si>
    <t>C239643</t>
  </si>
  <si>
    <t>C698958</t>
  </si>
  <si>
    <t>C3011128</t>
  </si>
  <si>
    <t>C2757931</t>
  </si>
  <si>
    <t>C76891</t>
  </si>
  <si>
    <t>C113030</t>
  </si>
  <si>
    <t>C139168</t>
  </si>
  <si>
    <t>C165948</t>
  </si>
  <si>
    <t>C505276</t>
  </si>
  <si>
    <t>C485355</t>
  </si>
  <si>
    <t>C3029440</t>
  </si>
  <si>
    <t>C88532</t>
  </si>
  <si>
    <t>C27442</t>
  </si>
  <si>
    <t>C2929502</t>
  </si>
  <si>
    <t>C87326</t>
  </si>
  <si>
    <t>C3151730</t>
  </si>
  <si>
    <t>C5182044</t>
  </si>
  <si>
    <t>C2923360</t>
  </si>
  <si>
    <t>C213159</t>
  </si>
  <si>
    <t>C5310968</t>
  </si>
  <si>
    <t>C12775</t>
  </si>
  <si>
    <t>C105578</t>
  </si>
  <si>
    <t>C137973</t>
  </si>
  <si>
    <t>C138040</t>
  </si>
  <si>
    <t>C60490</t>
  </si>
  <si>
    <t>C861589</t>
  </si>
  <si>
    <t>C136961</t>
  </si>
  <si>
    <t>C114638</t>
  </si>
  <si>
    <t>C100044</t>
  </si>
  <si>
    <t>C137753</t>
  </si>
  <si>
    <t>C141677</t>
  </si>
  <si>
    <t>C114661</t>
  </si>
  <si>
    <t>C105588</t>
  </si>
  <si>
    <t>C98220</t>
  </si>
  <si>
    <t>C99782</t>
  </si>
  <si>
    <t>C22548</t>
  </si>
  <si>
    <t>C123419</t>
  </si>
  <si>
    <t>C227930</t>
  </si>
  <si>
    <t>C105879</t>
  </si>
  <si>
    <t>C109318</t>
  </si>
  <si>
    <t>C114625</t>
  </si>
  <si>
    <t>C858599</t>
  </si>
  <si>
    <t>C137705</t>
  </si>
  <si>
    <t>C108661</t>
  </si>
  <si>
    <t>C861824</t>
  </si>
  <si>
    <t>C849817</t>
  </si>
  <si>
    <t>C137798</t>
  </si>
  <si>
    <t>C110924</t>
  </si>
  <si>
    <t>C69841</t>
  </si>
  <si>
    <t>C216644</t>
  </si>
  <si>
    <t>C81768</t>
  </si>
  <si>
    <t>C16581</t>
  </si>
  <si>
    <t>C84817</t>
  </si>
  <si>
    <t>C125972</t>
  </si>
  <si>
    <t>C17206</t>
  </si>
  <si>
    <t>C2971162</t>
  </si>
  <si>
    <t>C915971</t>
  </si>
  <si>
    <t>C2913202</t>
  </si>
  <si>
    <t>C193969</t>
  </si>
  <si>
    <t>C10675</t>
  </si>
  <si>
    <t>C329267</t>
  </si>
  <si>
    <t>C32843</t>
  </si>
  <si>
    <t>C115962</t>
  </si>
  <si>
    <t>C255883</t>
  </si>
  <si>
    <t>10uF</t>
  </si>
  <si>
    <t>4.7nF</t>
  </si>
  <si>
    <t>0.1uF</t>
  </si>
  <si>
    <t>100uF</t>
  </si>
  <si>
    <t>22uF</t>
  </si>
  <si>
    <t>1uF</t>
  </si>
  <si>
    <t>100nF</t>
  </si>
  <si>
    <t>15pF</t>
  </si>
  <si>
    <t>10nF</t>
  </si>
  <si>
    <t>10pF</t>
  </si>
  <si>
    <t>20pF</t>
  </si>
  <si>
    <t>2.2uF</t>
  </si>
  <si>
    <t>1000pF</t>
  </si>
  <si>
    <t>22nF</t>
  </si>
  <si>
    <t>6.8nF</t>
  </si>
  <si>
    <t>15uF</t>
  </si>
  <si>
    <t>12pF</t>
  </si>
  <si>
    <t>4.7uF</t>
  </si>
  <si>
    <t>DNP</t>
  </si>
  <si>
    <t>10uH</t>
  </si>
  <si>
    <t>22uH</t>
  </si>
  <si>
    <t>33uH</t>
  </si>
  <si>
    <t>1M</t>
  </si>
  <si>
    <t>5.1K</t>
  </si>
  <si>
    <t>1K</t>
  </si>
  <si>
    <t>1.2K</t>
  </si>
  <si>
    <t>3.3K</t>
  </si>
  <si>
    <t>10K</t>
  </si>
  <si>
    <t>8.2K</t>
  </si>
  <si>
    <t>62K</t>
  </si>
  <si>
    <t>820R</t>
  </si>
  <si>
    <t>27R</t>
  </si>
  <si>
    <t>130R</t>
  </si>
  <si>
    <t>15K</t>
  </si>
  <si>
    <t>0R</t>
  </si>
  <si>
    <t>100R</t>
  </si>
  <si>
    <t>4.7K</t>
  </si>
  <si>
    <t>180K</t>
  </si>
  <si>
    <t>24.9K</t>
  </si>
  <si>
    <t>4.42K</t>
  </si>
  <si>
    <t>330R</t>
  </si>
  <si>
    <t>10R</t>
  </si>
  <si>
    <t>49.9R</t>
  </si>
  <si>
    <t>30mR</t>
  </si>
  <si>
    <t>4.7R</t>
  </si>
  <si>
    <t>33R</t>
  </si>
  <si>
    <t>301R</t>
  </si>
  <si>
    <t>57.6K</t>
  </si>
  <si>
    <t>12.4K</t>
  </si>
  <si>
    <t>8MHz</t>
  </si>
  <si>
    <t>25MHz</t>
  </si>
  <si>
    <t>Quantity</t>
  </si>
  <si>
    <t>Alternate Part Number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</si>
  <si>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</si>
  <si>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</si>
  <si>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</si>
  <si>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</si>
  <si>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</si>
  <si>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</si>
  <si>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</si>
  <si>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Value</t>
  </si>
  <si>
    <t>Bill of Materials for Project [tracker-pro-airbnb-v1.0.]</t>
  </si>
  <si>
    <t>tracker-pro-airbnb-v1.0.</t>
  </si>
  <si>
    <t xml:space="preserve">Custom </t>
  </si>
  <si>
    <t>Quantity (10 Boards)</t>
  </si>
  <si>
    <t>MOQ (10 Boards)</t>
  </si>
  <si>
    <t>Unit Cost (10 Boards)</t>
  </si>
  <si>
    <t>Total Cost (10 Boards)</t>
  </si>
  <si>
    <t>LCSC</t>
  </si>
  <si>
    <t>-</t>
  </si>
  <si>
    <t>CAP TANT 33UF 10% 10V 1411</t>
  </si>
  <si>
    <t>TAJB336K010RNJ</t>
  </si>
  <si>
    <t>C7202</t>
  </si>
  <si>
    <t>33uF</t>
  </si>
  <si>
    <t>CAP TANT 330UF 20% 16V 2917</t>
  </si>
  <si>
    <t>Case-E</t>
  </si>
  <si>
    <t>TAJE337M016RNJ</t>
  </si>
  <si>
    <t>C51599</t>
  </si>
  <si>
    <t>330uF</t>
  </si>
  <si>
    <t>J2</t>
  </si>
  <si>
    <t>Slide Switche</t>
  </si>
  <si>
    <t>SW3</t>
  </si>
  <si>
    <t>Surface Mount 1A SPDT 6V Black 10000次 SMD Slide Switches ROHS</t>
  </si>
  <si>
    <t>MK-11C04-G013</t>
  </si>
  <si>
    <t>G-Switch</t>
  </si>
  <si>
    <t>C778185</t>
  </si>
  <si>
    <t>CC0603JRNPO9BN120</t>
  </si>
  <si>
    <t>DO NOT PLACE</t>
  </si>
  <si>
    <t>C137992</t>
  </si>
  <si>
    <t>F1, F2</t>
  </si>
  <si>
    <t>P1, P2, P3, P4, P5, P6, P7, P8, P9, P10, P11, P12, P13, P14, P15, P16, P17, P18, P19</t>
  </si>
  <si>
    <t>R4, R8, R11, R12, R13, R23, R24, R25, R27, R30, R31, R36, R41, R42, R44, R55, R68, R69</t>
  </si>
  <si>
    <t>R5, R6, R10, R39, R43, R57</t>
  </si>
  <si>
    <t>SB1, SB2, SB3, SB4</t>
  </si>
  <si>
    <t>CC0201JRNPO8BN100</t>
  </si>
  <si>
    <t>C541202</t>
  </si>
  <si>
    <t>PZ254V-11-03P</t>
  </si>
  <si>
    <t>C2937625</t>
  </si>
  <si>
    <t>Peripheral</t>
  </si>
  <si>
    <t>Battery</t>
  </si>
  <si>
    <t>ZE08-CH2O</t>
  </si>
  <si>
    <t>PMS5003</t>
  </si>
  <si>
    <t>Sensor</t>
  </si>
  <si>
    <t>Aliexpress</t>
  </si>
  <si>
    <t>0402WGF2492TCE</t>
  </si>
  <si>
    <t>C25874</t>
  </si>
  <si>
    <t>chipsmall</t>
  </si>
  <si>
    <t>IC POE CNTRL 1 CHANNEL 8SOIC</t>
  </si>
  <si>
    <t>TPS2375DR</t>
  </si>
  <si>
    <t>C2867397</t>
  </si>
  <si>
    <t>32.768kHz 7pF ±10ppm SMD3215-2P Crystals ROHS</t>
  </si>
  <si>
    <t>C5830643</t>
  </si>
  <si>
    <t>Shenzhen SCTF Elec</t>
  </si>
  <si>
    <t>DXTF321532768C10F</t>
  </si>
  <si>
    <t>32.768kHz</t>
  </si>
  <si>
    <t>C3, C5, C7, C9, C12, C13, C15, C16, C42, C73, C77, C79, C81, C82, C83</t>
  </si>
  <si>
    <t>C8, C11, C17, C24, C27, C28, C29, C34, C35, C59, C60</t>
  </si>
  <si>
    <t>C57</t>
  </si>
  <si>
    <t>R40, R56</t>
  </si>
  <si>
    <t>VMMC0571J150MV</t>
  </si>
  <si>
    <t>AFC01-S20FCC-00</t>
  </si>
  <si>
    <t>TS-1185EC-C-D-B</t>
  </si>
  <si>
    <t>TP12422673</t>
  </si>
  <si>
    <t>Clamshell 20P Bottom Contact Surface Mount 0.5mm SMD,P=0.5mm FFC/FPC Connectors ROHS</t>
  </si>
  <si>
    <t>C262274</t>
  </si>
  <si>
    <t>15uF 63V ±20% SMD,D6.3xL5.7mm Aluminum Electrolytic Capacitors - SMD ROHS</t>
  </si>
  <si>
    <t>Ymin</t>
  </si>
  <si>
    <t>C487115</t>
  </si>
  <si>
    <t>3mm 2mm Round Button 50mA Top3.65mm SPST 12V SMD Tactile Switches</t>
  </si>
  <si>
    <t>XKB</t>
  </si>
  <si>
    <t>C318893</t>
  </si>
  <si>
    <t>50mA 100MΩ 100000 Times 260gf@±50gf 12V Surface Mount SPST SMD Tactile Switches ROHS</t>
  </si>
  <si>
    <t>ROCPU Switch</t>
  </si>
  <si>
    <t>C5381384</t>
  </si>
  <si>
    <t>SOIC-8</t>
  </si>
  <si>
    <t>100% Original 3.7V 18500 2040mah Lithium Ion Battery for Panasonic NCR18500A 3.6V Battery for Toy Torch Flashlight Ect</t>
  </si>
  <si>
    <t>Custom Supplier Quote required</t>
  </si>
  <si>
    <t>Flexible Ribbon Cable</t>
  </si>
  <si>
    <t>TBD</t>
  </si>
  <si>
    <t>SZYY0402YG</t>
  </si>
  <si>
    <t>C434449</t>
  </si>
  <si>
    <t>C3235557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</si>
</sst>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2" fillId="2" borderId="16" xfId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1690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ESD-Protection-Devices_MSKSEMI-SP0503BAHTG-MS_C3029025.html" TargetMode="External"/><Relationship Id="rId117" Type="http://schemas.openxmlformats.org/officeDocument/2006/relationships/drawing" Target="../drawings/drawing1.xml"/><Relationship Id="rId21" Type="http://schemas.openxmlformats.org/officeDocument/2006/relationships/hyperlink" Target="https://www.lcsc.com/product-detail/Multilayer-Ceramic-Capacitors-MLCC-SMD-SMT_YAGEO-CC0805MKX5R8BB226_C784585.html" TargetMode="External"/><Relationship Id="rId42" Type="http://schemas.openxmlformats.org/officeDocument/2006/relationships/hyperlink" Target="https://www.lcsc.com/product-detail/Female-Headers_BOOMELE-Boom-Precision-Elec-C2718488_C2718488.html" TargetMode="External"/><Relationship Id="rId47" Type="http://schemas.openxmlformats.org/officeDocument/2006/relationships/hyperlink" Target="https://www.lcsc.com/product-detail/Light-Emitting-Diodes-LED_Foshan-NationStar-Optoelectronics-NCD0603G2_C87326.html" TargetMode="External"/><Relationship Id="rId63" Type="http://schemas.openxmlformats.org/officeDocument/2006/relationships/hyperlink" Target="https://www.lcsc.com/product-detail/Chip-Resistor-Surface-Mount_YAGEO-RC0603FR-070RL_C100044.html" TargetMode="External"/><Relationship Id="rId68" Type="http://schemas.openxmlformats.org/officeDocument/2006/relationships/hyperlink" Target="https://www.lcsc.com/product-detail/Chip-Resistor-Surface-Mount_YAGEO-RC0603FR-07100RL_C105588.html" TargetMode="External"/><Relationship Id="rId84" Type="http://schemas.openxmlformats.org/officeDocument/2006/relationships/hyperlink" Target="https://www.lcsc.com/product-detail/Slide-Switches_G-Switch-MK-11C04-G013_C778185.html" TargetMode="External"/><Relationship Id="rId89" Type="http://schemas.openxmlformats.org/officeDocument/2006/relationships/hyperlink" Target="https://www.lcsc.com/product-detail/DC-DC-Converters_XI-AN-Aerosemi-Tech-MT3608_C84817.html" TargetMode="External"/><Relationship Id="rId112" Type="http://schemas.openxmlformats.org/officeDocument/2006/relationships/hyperlink" Target="https://www.lcsc.com/product-detail/Power-Over-Ethernet-Controllers_Texas-Instruments-TPS2375DR_C2867397.html" TargetMode="External"/><Relationship Id="rId16" Type="http://schemas.openxmlformats.org/officeDocument/2006/relationships/hyperlink" Target="https://www.lcsc.com/product-detail/Multilayer-Ceramic-Capacitors-MLCC-SMD-SMT_YAGEO-CC1206KKX7RDBB102_C23631.html" TargetMode="External"/><Relationship Id="rId107" Type="http://schemas.openxmlformats.org/officeDocument/2006/relationships/hyperlink" Target="https://www.lcsc.com/product-detail/Crystals_Shenzhen-SCTF-Elec-DXTF321532768C10F_C5830643.html" TargetMode="External"/><Relationship Id="rId11" Type="http://schemas.openxmlformats.org/officeDocument/2006/relationships/hyperlink" Target="https://www.lcsc.com/product-detail/Multilayer-Ceramic-Capacitors-MLCC-SMD-SMT_YAGEO-CC0603JRNPO9BN103_C389113.html" TargetMode="External"/><Relationship Id="rId32" Type="http://schemas.openxmlformats.org/officeDocument/2006/relationships/hyperlink" Target="https://www.lcsc.com/product-detail/Schottky-Barrier-Diodes-SBD_JUXING-SS510B_C3011128.html" TargetMode="External"/><Relationship Id="rId37" Type="http://schemas.openxmlformats.org/officeDocument/2006/relationships/hyperlink" Target="https://www.lcsc.com/product-detail/USB-Connectors_Korean-Hroparts-Elec-TYPE-C-31-M-12_C165948.html" TargetMode="External"/><Relationship Id="rId53" Type="http://schemas.openxmlformats.org/officeDocument/2006/relationships/hyperlink" Target="https://www.lcsc.com/product-detail/MOSFETs_TECH-PUBLIC-SI2302CDS_C5310968.html" TargetMode="External"/><Relationship Id="rId58" Type="http://schemas.openxmlformats.org/officeDocument/2006/relationships/hyperlink" Target="https://www.lcsc.com/product-detail/Chip-Resistor-Surface-Mount_YAGEO-RC0402FR-073K3L_C137992.html" TargetMode="External"/><Relationship Id="rId74" Type="http://schemas.openxmlformats.org/officeDocument/2006/relationships/hyperlink" Target="https://www.lcsc.com/product-detail/Chip-Resistor-Surface-Mount_YAGEO-RC0603JR-07330RL_C105879.html" TargetMode="External"/><Relationship Id="rId79" Type="http://schemas.openxmlformats.org/officeDocument/2006/relationships/hyperlink" Target="https://www.lcsc.com/product-detail/Chip-Resistor-Surface-Mount_YAGEO-RC0603FR-0733RL_C108661.html" TargetMode="External"/><Relationship Id="rId102" Type="http://schemas.openxmlformats.org/officeDocument/2006/relationships/hyperlink" Target="https://www.lcsc.com/product-detail/span-style-background-color-ff0-Pin-span-Headers_XFCN-PZ254V-11-03P_C2937625.html" TargetMode="External"/><Relationship Id="rId5" Type="http://schemas.openxmlformats.org/officeDocument/2006/relationships/hyperlink" Target="https://www.lcsc.com/product-detail/Multilayer-Ceramic-Capacitors-MLCC-SMD-SMT_YAGEO-CC0402MRX5R6BB106_C962143.html" TargetMode="External"/><Relationship Id="rId90" Type="http://schemas.openxmlformats.org/officeDocument/2006/relationships/hyperlink" Target="https://www.lcsc.com/product-detail/Temperature-and-Humidity-Sensor_Bosch-Sensortec-BME680_C125972.html" TargetMode="External"/><Relationship Id="rId95" Type="http://schemas.openxmlformats.org/officeDocument/2006/relationships/hyperlink" Target="https://www.lcsc.com/product-detail/Analog-To-Digital-Converters-ADCs_Texas-Instruments-ADS1015IDGSR_C193969.html" TargetMode="External"/><Relationship Id="rId22" Type="http://schemas.openxmlformats.org/officeDocument/2006/relationships/hyperlink" Target="https://www.lcsc.com/product-detail/Multilayer-Ceramic-Capacitors-MLCC-SMD-SMT_YAGEO-CC0603KRX5R7BB106_C2936601.html" TargetMode="External"/><Relationship Id="rId27" Type="http://schemas.openxmlformats.org/officeDocument/2006/relationships/hyperlink" Target="https://www.lcsc.com/product-detail/Schottky-Barrier-Diodes-SBD_Shikues-PMEG4030ER_C5366303.html" TargetMode="External"/><Relationship Id="rId43" Type="http://schemas.openxmlformats.org/officeDocument/2006/relationships/hyperlink" Target="https://www.lcsc.com/product-detail/Wire-To-Board-Wire-To-Wire-Connector_BOOMELE-Boom-Precision-Elec-C145963_C145963.html" TargetMode="External"/><Relationship Id="rId48" Type="http://schemas.openxmlformats.org/officeDocument/2006/relationships/hyperlink" Target="https://www.lcsc.com/product-detail/Light-Emitting-Diodes-LED_Foshan-NationStar-Optoelectronics-NCD0603R3_C3151730.html" TargetMode="External"/><Relationship Id="rId64" Type="http://schemas.openxmlformats.org/officeDocument/2006/relationships/hyperlink" Target="https://www.lcsc.com/product-detail/Chip-Resistor-Surface-Mount_YAGEO-RC0603FR-0727RL_C137753.html" TargetMode="External"/><Relationship Id="rId69" Type="http://schemas.openxmlformats.org/officeDocument/2006/relationships/hyperlink" Target="https://www.lcsc.com/product-detail/Chip-Resistor-Surface-Mount_YAGEO-RC0603FR-0710KL_C98220.html" TargetMode="External"/><Relationship Id="rId113" Type="http://schemas.openxmlformats.org/officeDocument/2006/relationships/hyperlink" Target="https://vi.aliexpress.com/item/1005004627911510.html?gatewayAdapt=glo2vnm" TargetMode="External"/><Relationship Id="rId80" Type="http://schemas.openxmlformats.org/officeDocument/2006/relationships/hyperlink" Target="https://www.lcsc.com/product-detail/Chip-Resistor-Surface-Mount_YAGEO-RT0603BRE07301RL_C861824.html" TargetMode="External"/><Relationship Id="rId85" Type="http://schemas.openxmlformats.org/officeDocument/2006/relationships/hyperlink" Target="https://www.lcsc.com/product-detail/Linear-Voltage-Regulators-LDO_Torex-Semicon-XC6228D332VR-G_C69841.html" TargetMode="External"/><Relationship Id="rId12" Type="http://schemas.openxmlformats.org/officeDocument/2006/relationships/hyperlink" Target="https://www.lcsc.com/product-detail/Multilayer-Ceramic-Capacitors-MLCC-SMD-SMT_YAGEO-CC0603JRNPO9BN200_C105621.html" TargetMode="External"/><Relationship Id="rId17" Type="http://schemas.openxmlformats.org/officeDocument/2006/relationships/hyperlink" Target="https://www.lcsc.com/product-detail/Tantalum-Capacitors_Kyocera-AVX-TAJB336K010RNJ_C7202.html" TargetMode="External"/><Relationship Id="rId33" Type="http://schemas.openxmlformats.org/officeDocument/2006/relationships/hyperlink" Target="https://www.lcsc.com/product-detail/Resettable-Fuses_BHFUSE-BSMD0805L-200_C2757931.html" TargetMode="External"/><Relationship Id="rId38" Type="http://schemas.openxmlformats.org/officeDocument/2006/relationships/hyperlink" Target="https://www.lcsc.com/product-detail/Wire-To-Board-Wire-To-Wire-Connector_XUNPU-WAFER-PH2-0-2PWB_C3029440.html" TargetMode="External"/><Relationship Id="rId59" Type="http://schemas.openxmlformats.org/officeDocument/2006/relationships/hyperlink" Target="https://www.lcsc.com/product-detail/Chip-Resistor-Surface-Mount_YAGEO-RC0402FR-0710KL_C60490.html" TargetMode="External"/><Relationship Id="rId103" Type="http://schemas.openxmlformats.org/officeDocument/2006/relationships/hyperlink" Target="https://www.lcsc.com/product-detail/Chip-Resistor-Surface-Mount_UNI-ROYAL-Uniroyal-Elec-0402WGF2492TCE_C25874.html" TargetMode="External"/><Relationship Id="rId108" Type="http://schemas.openxmlformats.org/officeDocument/2006/relationships/hyperlink" Target="https://www.lcsc.com/product-detail/FFC-FPC-Connectors_JUSHUO-AFC01-S20FCC-00_C262274.html" TargetMode="External"/><Relationship Id="rId54" Type="http://schemas.openxmlformats.org/officeDocument/2006/relationships/hyperlink" Target="https://www.lcsc.com/product-detail/Digital-Transistors_LRC-LMUN2211LT1G_C12775.html" TargetMode="External"/><Relationship Id="rId70" Type="http://schemas.openxmlformats.org/officeDocument/2006/relationships/hyperlink" Target="https://www.lcsc.com/product-detail/Chip-Resistor-Surface-Mount_YAGEO-RC0603FR-074K7L_C99782.html" TargetMode="External"/><Relationship Id="rId75" Type="http://schemas.openxmlformats.org/officeDocument/2006/relationships/hyperlink" Target="https://www.lcsc.com/product-detail/Chip-Resistor-Surface-Mount_YAGEO-RC0603FR-0710RL_C109318.html" TargetMode="External"/><Relationship Id="rId91" Type="http://schemas.openxmlformats.org/officeDocument/2006/relationships/hyperlink" Target="https://www.lcsc.com/product-detail/Translators-Level-Shifters_Texas-Instruments-TXS0108EPWR_C17206.html" TargetMode="External"/><Relationship Id="rId96" Type="http://schemas.openxmlformats.org/officeDocument/2006/relationships/hyperlink" Target="https://www.lcsc.com/product-detail/TVS_Littelfuse-SP0504BAHTG_C10675.html" TargetMode="External"/><Relationship Id="rId1" Type="http://schemas.openxmlformats.org/officeDocument/2006/relationships/hyperlink" Target="https://www.lcsc.com/product-detail/Multilayer-Ceramic-Capacitors-MLCC-SMD-SMT_YAGEO-CC0603KRX5R6BB106_C326057.html" TargetMode="External"/><Relationship Id="rId6" Type="http://schemas.openxmlformats.org/officeDocument/2006/relationships/hyperlink" Target="https://www.lcsc.com/product-detail/Tantalum-Capacitors_Kyocera-AVX-TAJB107M010RNJ_C7196.html" TargetMode="External"/><Relationship Id="rId23" Type="http://schemas.openxmlformats.org/officeDocument/2006/relationships/hyperlink" Target="https://www.lcsc.com/product-detail/Multilayer-Ceramic-Capacitors-MLCC-SMD-SMT_YAGEO-CC0603JRNPO9BN120_C107034.html" TargetMode="External"/><Relationship Id="rId28" Type="http://schemas.openxmlformats.org/officeDocument/2006/relationships/hyperlink" Target="https://www.lcsc.com/product-detail/Schottky-Barrier-Diodes-SBD_Shikues-PMEG4030ER_C5366303.html" TargetMode="External"/><Relationship Id="rId49" Type="http://schemas.openxmlformats.org/officeDocument/2006/relationships/hyperlink" Target="https://www.lcsc.com/product-detail/MOSFETs_TECH-PUBLIC-SI2323DS_C5182044.html" TargetMode="External"/><Relationship Id="rId114" Type="http://schemas.openxmlformats.org/officeDocument/2006/relationships/hyperlink" Target="https://www.lcsc.com/product-detail/Light-Emitting-Diodes-span-style-background-color-ff0-LED-span_Yongyu-Photoelectric-SZYY0402YG_C434449.html" TargetMode="External"/><Relationship Id="rId10" Type="http://schemas.openxmlformats.org/officeDocument/2006/relationships/hyperlink" Target="https://www.lcsc.com/product-detail/Multilayer-Ceramic-Capacitors-MLCC-SMD-SMT_YAGEO-CC0603JRNPO9BN150_C107037.html" TargetMode="External"/><Relationship Id="rId31" Type="http://schemas.openxmlformats.org/officeDocument/2006/relationships/hyperlink" Target="https://www.lcsc.com/product-detail/TVS_Yangzhou-Yangjie-Elec-Tech-SMAJ58A_C698958.html" TargetMode="External"/><Relationship Id="rId44" Type="http://schemas.openxmlformats.org/officeDocument/2006/relationships/hyperlink" Target="https://www.lcsc.com/product-detail/Inductors-SMD_TDK-VLS252012HBX-100M-1_C88532.html" TargetMode="External"/><Relationship Id="rId52" Type="http://schemas.openxmlformats.org/officeDocument/2006/relationships/hyperlink" Target="https://www.lcsc.com/product-detail/MOSFETs_WILLSEMI-Will-Semicon-WPM2015-3-TR_C213159.html" TargetMode="External"/><Relationship Id="rId60" Type="http://schemas.openxmlformats.org/officeDocument/2006/relationships/hyperlink" Target="https://www.lcsc.com/product-detail/Chip-Resistor-Surface-Mount_YAGEO-RT0603BRD078K2L_C861589.html" TargetMode="External"/><Relationship Id="rId65" Type="http://schemas.openxmlformats.org/officeDocument/2006/relationships/hyperlink" Target="https://www.lcsc.com/product-detail/Chip-Resistor-Surface-Mount_YAGEO-RC0603FR-07130RL_C141677.html" TargetMode="External"/><Relationship Id="rId73" Type="http://schemas.openxmlformats.org/officeDocument/2006/relationships/hyperlink" Target="https://www.lcsc.com/product-detail/Chip-Resistor-Surface-Mount_YAGEO-AC0603FR-074K42L_C227930.html" TargetMode="External"/><Relationship Id="rId78" Type="http://schemas.openxmlformats.org/officeDocument/2006/relationships/hyperlink" Target="https://www.lcsc.com/product-detail/Chip-Resistor-Surface-Mount_YAGEO-RC0603FR-074R7L_C137705.html" TargetMode="External"/><Relationship Id="rId81" Type="http://schemas.openxmlformats.org/officeDocument/2006/relationships/hyperlink" Target="https://www.lcsc.com/product-detail/Chip-Resistor-Surface-Mount_YAGEO-RT0603BRE0757K6L_C849817.html" TargetMode="External"/><Relationship Id="rId86" Type="http://schemas.openxmlformats.org/officeDocument/2006/relationships/hyperlink" Target="https://www.lcsc.com/product-detail/Linear-Voltage-Regulators-LDO_Torex-Semicon-XC6228D182VR-G_C216644.html" TargetMode="External"/><Relationship Id="rId94" Type="http://schemas.openxmlformats.org/officeDocument/2006/relationships/hyperlink" Target="https://www.lcsc.com/product-detail/WiFi-Modules_Espressif-Systems-ESP32-S3-WROOM-1-N16R8_C2913202.html" TargetMode="External"/><Relationship Id="rId99" Type="http://schemas.openxmlformats.org/officeDocument/2006/relationships/hyperlink" Target="https://www.lcsc.com/product-detail/Crystals_Yangxing-Tech-X50328MSB2GI_C115962.html" TargetMode="External"/><Relationship Id="rId101" Type="http://schemas.openxmlformats.org/officeDocument/2006/relationships/hyperlink" Target="https://www.lcsc.com/product-detail/Multilayer-Ceramic-Capacitors-MLCC-SMD-SMT_YAGEO-CC0201JRNPO8BN100_C541202.html" TargetMode="External"/><Relationship Id="rId4" Type="http://schemas.openxmlformats.org/officeDocument/2006/relationships/hyperlink" Target="https://www.lcsc.com/product-detail/Multilayer-Ceramic-Capacitors-MLCC-SMD-SMT_TDK-C1005X5R1H104K050BB_C2181865.html" TargetMode="External"/><Relationship Id="rId9" Type="http://schemas.openxmlformats.org/officeDocument/2006/relationships/hyperlink" Target="https://www.lcsc.com/product-detail/Multilayer-Ceramic-Capacitors-MLCC-SMD-SMT_YAGEO-CC0603KRX5R9BB104_C110022.html" TargetMode="External"/><Relationship Id="rId13" Type="http://schemas.openxmlformats.org/officeDocument/2006/relationships/hyperlink" Target="https://www.lcsc.com/product-detail/Tantalum-Capacitors_CEC-Shenzhen-Zhenhua-XinYun-Elec-CA45-A-10V-10uF-K_C128253.html" TargetMode="External"/><Relationship Id="rId18" Type="http://schemas.openxmlformats.org/officeDocument/2006/relationships/hyperlink" Target="https://www.lcsc.com/product-detail/Multilayer-Ceramic-Capacitors-MLCC-SMD-SMT_YAGEO-CC0603KRX7R0BB104_C113803.html" TargetMode="External"/><Relationship Id="rId39" Type="http://schemas.openxmlformats.org/officeDocument/2006/relationships/hyperlink" Target="https://www.lcsc.com/product-detail/Wire-To-Board-Wire-To-Wire-Connector_MOLEX-532610771_C505276.html" TargetMode="External"/><Relationship Id="rId109" Type="http://schemas.openxmlformats.org/officeDocument/2006/relationships/hyperlink" Target="https://www.lcsc.com/product-detail/Aluminum-Electrolytic-Capacitors-SMD_Ymin-VMMC0571J150MV_C487115.html" TargetMode="External"/><Relationship Id="rId34" Type="http://schemas.openxmlformats.org/officeDocument/2006/relationships/hyperlink" Target="https://www.lcsc.com/product-detail/Ferrite-Beads_Murata-Electronics-BLM15PD121SN1D_C76891.html" TargetMode="External"/><Relationship Id="rId50" Type="http://schemas.openxmlformats.org/officeDocument/2006/relationships/hyperlink" Target="https://www.lcsc.com/product-detail/MOSFETs_TECH-PUBLIC-SI2323DS_C5182044.html" TargetMode="External"/><Relationship Id="rId55" Type="http://schemas.openxmlformats.org/officeDocument/2006/relationships/hyperlink" Target="https://www.lcsc.com/product-detail/Chip-Resistor-Surface-Mount_YAGEO-RC0603FR-071ML_C105578.html" TargetMode="External"/><Relationship Id="rId76" Type="http://schemas.openxmlformats.org/officeDocument/2006/relationships/hyperlink" Target="https://www.lcsc.com/product-detail/Chip-Resistor-Surface-Mount_YAGEO-RC0603FR-0749R9L_C114625.html" TargetMode="External"/><Relationship Id="rId97" Type="http://schemas.openxmlformats.org/officeDocument/2006/relationships/hyperlink" Target="https://www.lcsc.com/product-detail/DC-DC-Converters_XDS-TX4138_C329267.html" TargetMode="External"/><Relationship Id="rId104" Type="http://schemas.openxmlformats.org/officeDocument/2006/relationships/hyperlink" Target="https://www.chipsmall.com/Products/ENS160-BGLT_33188127.html" TargetMode="External"/><Relationship Id="rId7" Type="http://schemas.openxmlformats.org/officeDocument/2006/relationships/hyperlink" Target="https://www.lcsc.com/product-detail/Multilayer-Ceramic-Capacitors-MLCC-SMD-SMT_Samwha-Capacitor-CS2012X5R226M250NRE_C513764.html" TargetMode="External"/><Relationship Id="rId71" Type="http://schemas.openxmlformats.org/officeDocument/2006/relationships/hyperlink" Target="https://www.lcsc.com/product-detail/Chip-Resistor-Surface-Mount_YAGEO-RC0603FR-071KL_C22548.html" TargetMode="External"/><Relationship Id="rId92" Type="http://schemas.openxmlformats.org/officeDocument/2006/relationships/hyperlink" Target="https://www.lcsc.com/product-detail/Linear-Voltage-Regulators-LDO_STMicroelectronics-LDK120PU33R_C2971162.html" TargetMode="External"/><Relationship Id="rId2" Type="http://schemas.openxmlformats.org/officeDocument/2006/relationships/hyperlink" Target="https://www.lcsc.com/product-detail/Multilayer-Ceramic-Capacitors-MLCC-SMD-SMT_YAGEO-CC1206KKX7RCBB472_C107198.html" TargetMode="External"/><Relationship Id="rId29" Type="http://schemas.openxmlformats.org/officeDocument/2006/relationships/hyperlink" Target="https://www.lcsc.com/product-detail/Schottky-Barrier-Diodes-SBD_MDD-Microdiode-Electronics-SS34_C8678.html" TargetMode="External"/><Relationship Id="rId24" Type="http://schemas.openxmlformats.org/officeDocument/2006/relationships/hyperlink" Target="https://www.lcsc.com/product-detail/Tantalum-Capacitors_Kyocera-AVX-TAJE337M016RNJ_C51599.html" TargetMode="External"/><Relationship Id="rId40" Type="http://schemas.openxmlformats.org/officeDocument/2006/relationships/hyperlink" Target="https://www.lcsc.com/product-detail/Wire-To-Board-Wire-To-Wire-Connector_JST-Sales-America-S5B-ZR-SM4A-TF-LF-SN_C485355.html" TargetMode="External"/><Relationship Id="rId45" Type="http://schemas.openxmlformats.org/officeDocument/2006/relationships/hyperlink" Target="https://www.lcsc.com/product-detail/Power-Inductors_SXN-Shun-Xiang-Nuo-Elec-SMRH74-220MT_C27442.html" TargetMode="External"/><Relationship Id="rId66" Type="http://schemas.openxmlformats.org/officeDocument/2006/relationships/hyperlink" Target="https://www.lcsc.com/product-detail/Chip-Resistor-Surface-Mount_YAGEO-RC0603FR-0715KL_C114661.html" TargetMode="External"/><Relationship Id="rId87" Type="http://schemas.openxmlformats.org/officeDocument/2006/relationships/hyperlink" Target="https://www.lcsc.com/product-detail/Linear-Voltage-Regulators-LDO_UTC-Unisonic-Tech-LD1117AG-33-AB3-A-R_C81768.html" TargetMode="External"/><Relationship Id="rId110" Type="http://schemas.openxmlformats.org/officeDocument/2006/relationships/hyperlink" Target="https://www.lcsc.com/product-detail/Tactile-Switches_XKB-Connectivity-TS-1185EC-C-D-B_C318893.html" TargetMode="External"/><Relationship Id="rId115" Type="http://schemas.openxmlformats.org/officeDocument/2006/relationships/hyperlink" Target="https://vi.aliexpress.com/item/1005004921811549.html" TargetMode="External"/><Relationship Id="rId61" Type="http://schemas.openxmlformats.org/officeDocument/2006/relationships/hyperlink" Target="https://www.lcsc.com/product-detail/Chip-Resistor-Surface-Mount_YAGEO-RT0603BRD0762KL_C136961.html" TargetMode="External"/><Relationship Id="rId82" Type="http://schemas.openxmlformats.org/officeDocument/2006/relationships/hyperlink" Target="https://www.lcsc.com/product-detail/Chip-Resistor-Surface-Mount_YAGEO-RC0603FR-0712K4L_C137798.html" TargetMode="External"/><Relationship Id="rId19" Type="http://schemas.openxmlformats.org/officeDocument/2006/relationships/hyperlink" Target="https://www.lcsc.com/product-detail/Multilayer-Ceramic-Capacitors-MLCC-SMD-SMT_YAGEO-CC0603KRX7R9BB223_C106222.html" TargetMode="External"/><Relationship Id="rId14" Type="http://schemas.openxmlformats.org/officeDocument/2006/relationships/hyperlink" Target="https://www.lcsc.com/product-detail/Multilayer-Ceramic-Capacitors-MLCC-SMD-SMT_YAGEO-CC0805KKX5R9BB225_C326581.html" TargetMode="External"/><Relationship Id="rId30" Type="http://schemas.openxmlformats.org/officeDocument/2006/relationships/hyperlink" Target="https://www.lcsc.com/product-detail/TVS_WILLSEMI-Will-Semicon-ESD5302F-3-TR_C239643.html" TargetMode="External"/><Relationship Id="rId35" Type="http://schemas.openxmlformats.org/officeDocument/2006/relationships/hyperlink" Target="https://www.lcsc.com/product-detail/Ferrite-Beads_Murata-Electronics-BLM18SG121TN1D_C113030.html" TargetMode="External"/><Relationship Id="rId56" Type="http://schemas.openxmlformats.org/officeDocument/2006/relationships/hyperlink" Target="https://www.lcsc.com/product-detail/Chip-Resistor-Surface-Mount_YAGEO-RC0402FR-0747RL_C137973.html" TargetMode="External"/><Relationship Id="rId77" Type="http://schemas.openxmlformats.org/officeDocument/2006/relationships/hyperlink" Target="https://www.lcsc.com/product-detail/Chip-Resistor-Surface-Mount_YAGEO-PE0805FRF470R03L_C858599.html" TargetMode="External"/><Relationship Id="rId100" Type="http://schemas.openxmlformats.org/officeDocument/2006/relationships/hyperlink" Target="https://www.lcsc.com/product-detail/Crystals_Seiko-Epson-Q22FA12800090_C255883.html" TargetMode="External"/><Relationship Id="rId105" Type="http://schemas.openxmlformats.org/officeDocument/2006/relationships/hyperlink" Target="https://www.chipsmall.com/Products/MICS-6814_33188182.html" TargetMode="External"/><Relationship Id="rId8" Type="http://schemas.openxmlformats.org/officeDocument/2006/relationships/hyperlink" Target="https://www.lcsc.com/product-detail/Multilayer-Ceramic-Capacitors-MLCC-SMD-SMT_YAGEO-CC0402KRX5R6BB105_C106254.html" TargetMode="External"/><Relationship Id="rId51" Type="http://schemas.openxmlformats.org/officeDocument/2006/relationships/hyperlink" Target="https://www.lcsc.com/product-detail/Bipolar-Transistors-BJT_TECH-PUBLIC-MMBT3904M_C2923360.html" TargetMode="External"/><Relationship Id="rId72" Type="http://schemas.openxmlformats.org/officeDocument/2006/relationships/hyperlink" Target="https://www.lcsc.com/product-detail/Chip-Resistor-Surface-Mount_YAGEO-RC0603FR-07180KL_C123419.html" TargetMode="External"/><Relationship Id="rId93" Type="http://schemas.openxmlformats.org/officeDocument/2006/relationships/hyperlink" Target="https://www.lcsc.com/product-detail/Microcontroller-Units-MCUs-MPUs-SOCs_STMicroelectronics-STM32F446RCT6_C915971.html" TargetMode="External"/><Relationship Id="rId98" Type="http://schemas.openxmlformats.org/officeDocument/2006/relationships/hyperlink" Target="https://www.lcsc.com/product-detail/Ethernet-ICs_WIZNET-W5500_C32843.html" TargetMode="External"/><Relationship Id="rId3" Type="http://schemas.openxmlformats.org/officeDocument/2006/relationships/hyperlink" Target="https://www.lcsc.com/product-detail/Multilayer-Ceramic-Capacitors-MLCC-SMD-SMT_YAGEO-CC0402KRX5R6BB104_C129131.html" TargetMode="External"/><Relationship Id="rId25" Type="http://schemas.openxmlformats.org/officeDocument/2006/relationships/hyperlink" Target="https://www.lcsc.com/product-detail/Multilayer-Ceramic-Capacitors-MLCC-SMD-SMT_YAGEO-CC0603KRX5R6BB475_C109456.html" TargetMode="External"/><Relationship Id="rId46" Type="http://schemas.openxmlformats.org/officeDocument/2006/relationships/hyperlink" Target="https://www.lcsc.com/product-detail/Inductors-SMD_SHOU-HAN-CYH127-33UH_C2929502.html" TargetMode="External"/><Relationship Id="rId67" Type="http://schemas.openxmlformats.org/officeDocument/2006/relationships/hyperlink" Target="https://www.lcsc.com/product-detail/Chip-Resistor-Surface-Mount_YAGEO-RC0603FR-070RL_C100044.html" TargetMode="External"/><Relationship Id="rId116" Type="http://schemas.openxmlformats.org/officeDocument/2006/relationships/printerSettings" Target="../printerSettings/printerSettings1.bin"/><Relationship Id="rId20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41" Type="http://schemas.openxmlformats.org/officeDocument/2006/relationships/hyperlink" Target="https://www.lcsc.com/product-detail/Wire-To-Board-Wire-To-Wire-Connector_MOLEX-532610871_C293349.html" TargetMode="External"/><Relationship Id="rId62" Type="http://schemas.openxmlformats.org/officeDocument/2006/relationships/hyperlink" Target="https://www.lcsc.com/product-detail/Chip-Resistor-Surface-Mount_YAGEO-RC0603FR-07820RL_C114638.html" TargetMode="External"/><Relationship Id="rId83" Type="http://schemas.openxmlformats.org/officeDocument/2006/relationships/hyperlink" Target="https://www.lcsc.com/product-detail/Resistor-Networks-Arrays_YAGEO-YC164-FR-0710KL_C110924.html" TargetMode="External"/><Relationship Id="rId88" Type="http://schemas.openxmlformats.org/officeDocument/2006/relationships/hyperlink" Target="https://www.lcsc.com/product-detail/Battery-Management-ICs_TOPPOWER-Nanjing-Extension-Microelectronics-TP4056-42-ESOP8_C16581.html" TargetMode="External"/><Relationship Id="rId111" Type="http://schemas.openxmlformats.org/officeDocument/2006/relationships/hyperlink" Target="https://www.lcsc.com/product-detail/Tactile-Switches_ROCPU-Switches-TP12422673_C5381384.html" TargetMode="External"/><Relationship Id="rId15" Type="http://schemas.openxmlformats.org/officeDocument/2006/relationships/hyperlink" Target="https://www.lcsc.com/product-detail/Multilayer-Ceramic-Capacitors-MLCC-SMD-SMT_YAGEO-CC0603MRX5R6BB226_C109447.html" TargetMode="External"/><Relationship Id="rId36" Type="http://schemas.openxmlformats.org/officeDocument/2006/relationships/hyperlink" Target="https://www.lcsc.com/product-detail/Ferrite-Beads_FH-Guangdong-Fenghua-Advanced-Tech-CBM201209U601T_C139168.html" TargetMode="External"/><Relationship Id="rId57" Type="http://schemas.openxmlformats.org/officeDocument/2006/relationships/hyperlink" Target="https://www.lcsc.com/product-detail/Chip-Resistor-Surface-Mount_YAGEO-RC0402FR-071K2L_C138040.html" TargetMode="External"/><Relationship Id="rId106" Type="http://schemas.openxmlformats.org/officeDocument/2006/relationships/hyperlink" Target="https://www.chipsmall.com/Products/TPS2116DRLR_33318485.htm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ESD-Protection-Devices_MSKSEMI-SP0503BAHTG-MS_C3029025.html" TargetMode="External"/><Relationship Id="rId21" Type="http://schemas.openxmlformats.org/officeDocument/2006/relationships/hyperlink" Target="https://www.lcsc.com/product-detail/Multilayer-Ceramic-Capacitors-MLCC-SMD-SMT_YAGEO-CC0805MKX5R8BB226_C784585.html" TargetMode="External"/><Relationship Id="rId42" Type="http://schemas.openxmlformats.org/officeDocument/2006/relationships/hyperlink" Target="https://www.lcsc.com/product-detail/Female-Headers_BOOMELE-Boom-Precision-Elec-C2718488_C2718488.html" TargetMode="External"/><Relationship Id="rId47" Type="http://schemas.openxmlformats.org/officeDocument/2006/relationships/hyperlink" Target="https://www.lcsc.com/product-detail/Light-Emitting-Diodes-LED_Foshan-NationStar-Optoelectronics-NCD0603G2_C87326.html" TargetMode="External"/><Relationship Id="rId63" Type="http://schemas.openxmlformats.org/officeDocument/2006/relationships/hyperlink" Target="https://www.lcsc.com/product-detail/Chip-Resistor-Surface-Mount_YAGEO-RC0603FR-070RL_C100044.html" TargetMode="External"/><Relationship Id="rId68" Type="http://schemas.openxmlformats.org/officeDocument/2006/relationships/hyperlink" Target="https://www.lcsc.com/product-detail/Chip-Resistor-Surface-Mount_YAGEO-RC0603FR-07100RL_C105588.html" TargetMode="External"/><Relationship Id="rId84" Type="http://schemas.openxmlformats.org/officeDocument/2006/relationships/hyperlink" Target="https://www.lcsc.com/product-detail/Slide-Switches_G-Switch-MK-11C04-G013_C778185.html" TargetMode="External"/><Relationship Id="rId89" Type="http://schemas.openxmlformats.org/officeDocument/2006/relationships/hyperlink" Target="https://www.lcsc.com/product-detail/DC-DC-Converters_XI-AN-Aerosemi-Tech-MT3608_C84817.html" TargetMode="External"/><Relationship Id="rId112" Type="http://schemas.openxmlformats.org/officeDocument/2006/relationships/hyperlink" Target="https://vi.aliexpress.com/item/1005004627911510.html?gatewayAdapt=glo2vnm" TargetMode="External"/><Relationship Id="rId16" Type="http://schemas.openxmlformats.org/officeDocument/2006/relationships/hyperlink" Target="https://www.lcsc.com/product-detail/Multilayer-Ceramic-Capacitors-MLCC-SMD-SMT_YAGEO-CC1206KKX7RDBB102_C23631.html" TargetMode="External"/><Relationship Id="rId107" Type="http://schemas.openxmlformats.org/officeDocument/2006/relationships/hyperlink" Target="https://www.lcsc.com/product-detail/FFC-FPC-Connectors_JUSHUO-AFC01-S20FCC-00_C262274.html" TargetMode="External"/><Relationship Id="rId11" Type="http://schemas.openxmlformats.org/officeDocument/2006/relationships/hyperlink" Target="https://www.lcsc.com/product-detail/Multilayer-Ceramic-Capacitors-MLCC-SMD-SMT_YAGEO-CC0603JRNPO9BN103_C389113.html" TargetMode="External"/><Relationship Id="rId32" Type="http://schemas.openxmlformats.org/officeDocument/2006/relationships/hyperlink" Target="https://www.lcsc.com/product-detail/Schottky-Barrier-Diodes-SBD_JUXING-SS510B_C3011128.html" TargetMode="External"/><Relationship Id="rId37" Type="http://schemas.openxmlformats.org/officeDocument/2006/relationships/hyperlink" Target="https://www.lcsc.com/product-detail/USB-Connectors_Korean-Hroparts-Elec-TYPE-C-31-M-12_C165948.html" TargetMode="External"/><Relationship Id="rId53" Type="http://schemas.openxmlformats.org/officeDocument/2006/relationships/hyperlink" Target="https://www.lcsc.com/product-detail/MOSFETs_TECH-PUBLIC-SI2302CDS_C5310968.html" TargetMode="External"/><Relationship Id="rId58" Type="http://schemas.openxmlformats.org/officeDocument/2006/relationships/hyperlink" Target="https://www.lcsc.com/product-detail/Chip-Resistor-Surface-Mount_YAGEO-RC0402FR-073K3L_C137992.html" TargetMode="External"/><Relationship Id="rId74" Type="http://schemas.openxmlformats.org/officeDocument/2006/relationships/hyperlink" Target="https://www.lcsc.com/product-detail/Chip-Resistor-Surface-Mount_YAGEO-RC0603JR-07330RL_C105879.html" TargetMode="External"/><Relationship Id="rId79" Type="http://schemas.openxmlformats.org/officeDocument/2006/relationships/hyperlink" Target="https://www.lcsc.com/product-detail/Chip-Resistor-Surface-Mount_YAGEO-RC0603FR-0733RL_C108661.html" TargetMode="External"/><Relationship Id="rId102" Type="http://schemas.openxmlformats.org/officeDocument/2006/relationships/hyperlink" Target="https://www.lcsc.com/product-detail/span-style-background-color-ff0-Pin-span-Headers_XFCN-PZ254V-11-03P_C2937625.html" TargetMode="External"/><Relationship Id="rId5" Type="http://schemas.openxmlformats.org/officeDocument/2006/relationships/hyperlink" Target="https://www.lcsc.com/product-detail/Multilayer-Ceramic-Capacitors-MLCC-SMD-SMT_YAGEO-CC0402MRX5R6BB106_C962143.html" TargetMode="External"/><Relationship Id="rId90" Type="http://schemas.openxmlformats.org/officeDocument/2006/relationships/hyperlink" Target="https://www.lcsc.com/product-detail/Temperature-and-Humidity-Sensor_Bosch-Sensortec-BME680_C125972.html" TargetMode="External"/><Relationship Id="rId95" Type="http://schemas.openxmlformats.org/officeDocument/2006/relationships/hyperlink" Target="https://www.lcsc.com/product-detail/Analog-To-Digital-Converters-ADCs_Texas-Instruments-ADS1015IDGSR_C193969.html" TargetMode="External"/><Relationship Id="rId22" Type="http://schemas.openxmlformats.org/officeDocument/2006/relationships/hyperlink" Target="https://www.lcsc.com/product-detail/Multilayer-Ceramic-Capacitors-MLCC-SMD-SMT_YAGEO-CC0603KRX5R7BB106_C2936601.html" TargetMode="External"/><Relationship Id="rId27" Type="http://schemas.openxmlformats.org/officeDocument/2006/relationships/hyperlink" Target="https://www.lcsc.com/product-detail/Schottky-Barrier-Diodes-SBD_Shikues-PMEG4030ER_C5366303.html" TargetMode="External"/><Relationship Id="rId43" Type="http://schemas.openxmlformats.org/officeDocument/2006/relationships/hyperlink" Target="https://www.lcsc.com/product-detail/Wire-To-Board-Wire-To-Wire-Connector_BOOMELE-Boom-Precision-Elec-C145963_C145963.html" TargetMode="External"/><Relationship Id="rId48" Type="http://schemas.openxmlformats.org/officeDocument/2006/relationships/hyperlink" Target="https://www.lcsc.com/product-detail/Light-Emitting-Diodes-LED_Foshan-NationStar-Optoelectronics-NCD0603R3_C3151730.html" TargetMode="External"/><Relationship Id="rId64" Type="http://schemas.openxmlformats.org/officeDocument/2006/relationships/hyperlink" Target="https://www.lcsc.com/product-detail/Chip-Resistor-Surface-Mount_YAGEO-RC0603FR-0727RL_C137753.html" TargetMode="External"/><Relationship Id="rId69" Type="http://schemas.openxmlformats.org/officeDocument/2006/relationships/hyperlink" Target="https://www.lcsc.com/product-detail/Chip-Resistor-Surface-Mount_YAGEO-RC0603FR-0710KL_C98220.html" TargetMode="External"/><Relationship Id="rId113" Type="http://schemas.openxmlformats.org/officeDocument/2006/relationships/hyperlink" Target="https://www.lcsc.com/product-detail/Light-Emitting-Diodes-span-style-background-color-ff0-LED-span_Yongyu-Photoelectric-SZYY0402YG_C434449.html" TargetMode="External"/><Relationship Id="rId80" Type="http://schemas.openxmlformats.org/officeDocument/2006/relationships/hyperlink" Target="https://www.lcsc.com/product-detail/Chip-Resistor-Surface-Mount_YAGEO-RT0603BRE07301RL_C861824.html" TargetMode="External"/><Relationship Id="rId85" Type="http://schemas.openxmlformats.org/officeDocument/2006/relationships/hyperlink" Target="https://www.lcsc.com/product-detail/Linear-Voltage-Regulators-LDO_Torex-Semicon-XC6228D332VR-G_C69841.html" TargetMode="External"/><Relationship Id="rId12" Type="http://schemas.openxmlformats.org/officeDocument/2006/relationships/hyperlink" Target="https://www.lcsc.com/product-detail/Multilayer-Ceramic-Capacitors-MLCC-SMD-SMT_YAGEO-CC0603JRNPO9BN200_C105621.html" TargetMode="External"/><Relationship Id="rId17" Type="http://schemas.openxmlformats.org/officeDocument/2006/relationships/hyperlink" Target="https://www.lcsc.com/product-detail/Tantalum-Capacitors_Kyocera-AVX-TAJB336K010RNJ_C7202.html" TargetMode="External"/><Relationship Id="rId33" Type="http://schemas.openxmlformats.org/officeDocument/2006/relationships/hyperlink" Target="https://www.lcsc.com/product-detail/Resettable-Fuses_BHFUSE-BSMD0805L-200_C2757931.html" TargetMode="External"/><Relationship Id="rId38" Type="http://schemas.openxmlformats.org/officeDocument/2006/relationships/hyperlink" Target="https://www.lcsc.com/product-detail/Wire-To-Board-Wire-To-Wire-Connector_XUNPU-WAFER-PH2-0-2PWB_C3029440.html" TargetMode="External"/><Relationship Id="rId59" Type="http://schemas.openxmlformats.org/officeDocument/2006/relationships/hyperlink" Target="https://www.lcsc.com/product-detail/Chip-Resistor-Surface-Mount_YAGEO-RC0402FR-0710KL_C60490.html" TargetMode="External"/><Relationship Id="rId103" Type="http://schemas.openxmlformats.org/officeDocument/2006/relationships/hyperlink" Target="https://www.lcsc.com/product-detail/Chip-Resistor-Surface-Mount_UNI-ROYAL-Uniroyal-Elec-0402WGF2492TCE_C25874.html" TargetMode="External"/><Relationship Id="rId108" Type="http://schemas.openxmlformats.org/officeDocument/2006/relationships/hyperlink" Target="https://www.lcsc.com/product-detail/Aluminum-Electrolytic-Capacitors-SMD_Ymin-VMMC0571J150MV_C487115.html" TargetMode="External"/><Relationship Id="rId54" Type="http://schemas.openxmlformats.org/officeDocument/2006/relationships/hyperlink" Target="https://www.lcsc.com/product-detail/Digital-Transistors_LRC-LMUN2211LT1G_C12775.html" TargetMode="External"/><Relationship Id="rId70" Type="http://schemas.openxmlformats.org/officeDocument/2006/relationships/hyperlink" Target="https://www.lcsc.com/product-detail/Chip-Resistor-Surface-Mount_YAGEO-RC0603FR-074K7L_C99782.html" TargetMode="External"/><Relationship Id="rId75" Type="http://schemas.openxmlformats.org/officeDocument/2006/relationships/hyperlink" Target="https://www.lcsc.com/product-detail/Chip-Resistor-Surface-Mount_YAGEO-RC0603FR-0710RL_C109318.html" TargetMode="External"/><Relationship Id="rId91" Type="http://schemas.openxmlformats.org/officeDocument/2006/relationships/hyperlink" Target="https://www.lcsc.com/product-detail/Translators-Level-Shifters_Texas-Instruments-TXS0108EPWR_C17206.html" TargetMode="External"/><Relationship Id="rId96" Type="http://schemas.openxmlformats.org/officeDocument/2006/relationships/hyperlink" Target="https://www.lcsc.com/product-detail/TVS_Littelfuse-SP0504BAHTG_C10675.html" TargetMode="External"/><Relationship Id="rId1" Type="http://schemas.openxmlformats.org/officeDocument/2006/relationships/hyperlink" Target="https://www.lcsc.com/product-detail/Multilayer-Ceramic-Capacitors-MLCC-SMD-SMT_YAGEO-CC0603KRX5R6BB106_C326057.html" TargetMode="External"/><Relationship Id="rId6" Type="http://schemas.openxmlformats.org/officeDocument/2006/relationships/hyperlink" Target="https://www.lcsc.com/product-detail/Tantalum-Capacitors_Kyocera-AVX-TAJB107M010RNJ_C7196.html" TargetMode="External"/><Relationship Id="rId15" Type="http://schemas.openxmlformats.org/officeDocument/2006/relationships/hyperlink" Target="https://www.lcsc.com/product-detail/Multilayer-Ceramic-Capacitors-MLCC-SMD-SMT_YAGEO-CC0603MRX5R6BB226_C109447.html" TargetMode="External"/><Relationship Id="rId23" Type="http://schemas.openxmlformats.org/officeDocument/2006/relationships/hyperlink" Target="https://www.lcsc.com/product-detail/Multilayer-Ceramic-Capacitors-MLCC-SMD-SMT_YAGEO-CC0603JRNPO9BN120_C107034.html" TargetMode="External"/><Relationship Id="rId28" Type="http://schemas.openxmlformats.org/officeDocument/2006/relationships/hyperlink" Target="https://www.lcsc.com/product-detail/Schottky-Barrier-Diodes-SBD_Shikues-PMEG4030ER_C5366303.html" TargetMode="External"/><Relationship Id="rId36" Type="http://schemas.openxmlformats.org/officeDocument/2006/relationships/hyperlink" Target="https://www.lcsc.com/product-detail/Ferrite-Beads_FH-Guangdong-Fenghua-Advanced-Tech-CBM201209U601T_C139168.html" TargetMode="External"/><Relationship Id="rId49" Type="http://schemas.openxmlformats.org/officeDocument/2006/relationships/hyperlink" Target="https://www.lcsc.com/product-detail/MOSFETs_TECH-PUBLIC-SI2323DS_C5182044.html" TargetMode="External"/><Relationship Id="rId57" Type="http://schemas.openxmlformats.org/officeDocument/2006/relationships/hyperlink" Target="https://www.lcsc.com/product-detail/Chip-Resistor-Surface-Mount_YAGEO-RC0402FR-071K2L_C138040.html" TargetMode="External"/><Relationship Id="rId106" Type="http://schemas.openxmlformats.org/officeDocument/2006/relationships/hyperlink" Target="https://www.lcsc.com/product-detail/Crystals_Shenzhen-SCTF-Elec-DXTF321532768C10F_C5830643.html" TargetMode="External"/><Relationship Id="rId114" Type="http://schemas.openxmlformats.org/officeDocument/2006/relationships/hyperlink" Target="https://www.lcsc.com/product-detail/Power-Distribution-Switches_Texas-Instruments-TPS2116DRLR_C3235557.html" TargetMode="External"/><Relationship Id="rId10" Type="http://schemas.openxmlformats.org/officeDocument/2006/relationships/hyperlink" Target="https://www.lcsc.com/product-detail/Multilayer-Ceramic-Capacitors-MLCC-SMD-SMT_YAGEO-CC0603JRNPO9BN150_C107037.html" TargetMode="External"/><Relationship Id="rId31" Type="http://schemas.openxmlformats.org/officeDocument/2006/relationships/hyperlink" Target="https://www.lcsc.com/product-detail/TVS_Yangzhou-Yangjie-Elec-Tech-SMAJ58A_C698958.html" TargetMode="External"/><Relationship Id="rId44" Type="http://schemas.openxmlformats.org/officeDocument/2006/relationships/hyperlink" Target="https://www.lcsc.com/product-detail/Inductors-SMD_TDK-VLS252012HBX-100M-1_C88532.html" TargetMode="External"/><Relationship Id="rId52" Type="http://schemas.openxmlformats.org/officeDocument/2006/relationships/hyperlink" Target="https://www.lcsc.com/product-detail/MOSFETs_WILLSEMI-Will-Semicon-WPM2015-3-TR_C213159.html" TargetMode="External"/><Relationship Id="rId60" Type="http://schemas.openxmlformats.org/officeDocument/2006/relationships/hyperlink" Target="https://www.lcsc.com/product-detail/Chip-Resistor-Surface-Mount_YAGEO-RT0603BRD078K2L_C861589.html" TargetMode="External"/><Relationship Id="rId65" Type="http://schemas.openxmlformats.org/officeDocument/2006/relationships/hyperlink" Target="https://www.lcsc.com/product-detail/Chip-Resistor-Surface-Mount_YAGEO-RC0603FR-07130RL_C141677.html" TargetMode="External"/><Relationship Id="rId73" Type="http://schemas.openxmlformats.org/officeDocument/2006/relationships/hyperlink" Target="https://www.lcsc.com/product-detail/Chip-Resistor-Surface-Mount_YAGEO-AC0603FR-074K42L_C227930.html" TargetMode="External"/><Relationship Id="rId78" Type="http://schemas.openxmlformats.org/officeDocument/2006/relationships/hyperlink" Target="https://www.lcsc.com/product-detail/Chip-Resistor-Surface-Mount_YAGEO-RC0603FR-074R7L_C137705.html" TargetMode="External"/><Relationship Id="rId81" Type="http://schemas.openxmlformats.org/officeDocument/2006/relationships/hyperlink" Target="https://www.lcsc.com/product-detail/Chip-Resistor-Surface-Mount_YAGEO-RT0603BRE0757K6L_C849817.html" TargetMode="External"/><Relationship Id="rId86" Type="http://schemas.openxmlformats.org/officeDocument/2006/relationships/hyperlink" Target="https://www.lcsc.com/product-detail/Linear-Voltage-Regulators-LDO_Torex-Semicon-XC6228D182VR-G_C216644.html" TargetMode="External"/><Relationship Id="rId94" Type="http://schemas.openxmlformats.org/officeDocument/2006/relationships/hyperlink" Target="https://www.lcsc.com/product-detail/WiFi-Modules_Espressif-Systems-ESP32-S3-WROOM-1-N16R8_C2913202.html" TargetMode="External"/><Relationship Id="rId99" Type="http://schemas.openxmlformats.org/officeDocument/2006/relationships/hyperlink" Target="https://www.lcsc.com/product-detail/Crystals_Yangxing-Tech-X50328MSB2GI_C115962.html" TargetMode="External"/><Relationship Id="rId101" Type="http://schemas.openxmlformats.org/officeDocument/2006/relationships/hyperlink" Target="https://www.lcsc.com/product-detail/Multilayer-Ceramic-Capacitors-MLCC-SMD-SMT_YAGEO-CC0201JRNPO8BN100_C541202.html" TargetMode="External"/><Relationship Id="rId4" Type="http://schemas.openxmlformats.org/officeDocument/2006/relationships/hyperlink" Target="https://www.lcsc.com/product-detail/Multilayer-Ceramic-Capacitors-MLCC-SMD-SMT_TDK-C1005X5R1H104K050BB_C2181865.html" TargetMode="External"/><Relationship Id="rId9" Type="http://schemas.openxmlformats.org/officeDocument/2006/relationships/hyperlink" Target="https://www.lcsc.com/product-detail/Multilayer-Ceramic-Capacitors-MLCC-SMD-SMT_YAGEO-CC0603KRX5R9BB104_C110022.html" TargetMode="External"/><Relationship Id="rId13" Type="http://schemas.openxmlformats.org/officeDocument/2006/relationships/hyperlink" Target="https://www.lcsc.com/product-detail/Tantalum-Capacitors_CEC-Shenzhen-Zhenhua-XinYun-Elec-CA45-A-10V-10uF-K_C128253.html" TargetMode="External"/><Relationship Id="rId18" Type="http://schemas.openxmlformats.org/officeDocument/2006/relationships/hyperlink" Target="https://www.lcsc.com/product-detail/Multilayer-Ceramic-Capacitors-MLCC-SMD-SMT_YAGEO-CC0603KRX7R0BB104_C113803.html" TargetMode="External"/><Relationship Id="rId39" Type="http://schemas.openxmlformats.org/officeDocument/2006/relationships/hyperlink" Target="https://www.lcsc.com/product-detail/Wire-To-Board-Wire-To-Wire-Connector_MOLEX-532610771_C505276.html" TargetMode="External"/><Relationship Id="rId109" Type="http://schemas.openxmlformats.org/officeDocument/2006/relationships/hyperlink" Target="https://www.lcsc.com/product-detail/Tactile-Switches_XKB-Connectivity-TS-1185EC-C-D-B_C318893.html" TargetMode="External"/><Relationship Id="rId34" Type="http://schemas.openxmlformats.org/officeDocument/2006/relationships/hyperlink" Target="https://www.lcsc.com/product-detail/Ferrite-Beads_Murata-Electronics-BLM15PD121SN1D_C76891.html" TargetMode="External"/><Relationship Id="rId50" Type="http://schemas.openxmlformats.org/officeDocument/2006/relationships/hyperlink" Target="https://www.lcsc.com/product-detail/MOSFETs_TECH-PUBLIC-SI2323DS_C5182044.html" TargetMode="External"/><Relationship Id="rId55" Type="http://schemas.openxmlformats.org/officeDocument/2006/relationships/hyperlink" Target="https://www.lcsc.com/product-detail/Chip-Resistor-Surface-Mount_YAGEO-RC0603FR-071ML_C105578.html" TargetMode="External"/><Relationship Id="rId76" Type="http://schemas.openxmlformats.org/officeDocument/2006/relationships/hyperlink" Target="https://www.lcsc.com/product-detail/Chip-Resistor-Surface-Mount_YAGEO-RC0603FR-0749R9L_C114625.html" TargetMode="External"/><Relationship Id="rId97" Type="http://schemas.openxmlformats.org/officeDocument/2006/relationships/hyperlink" Target="https://www.lcsc.com/product-detail/DC-DC-Converters_XDS-TX4138_C329267.html" TargetMode="External"/><Relationship Id="rId104" Type="http://schemas.openxmlformats.org/officeDocument/2006/relationships/hyperlink" Target="https://www.chipsmall.com/Products/ENS160-BGLT_33188127.html" TargetMode="External"/><Relationship Id="rId7" Type="http://schemas.openxmlformats.org/officeDocument/2006/relationships/hyperlink" Target="https://www.lcsc.com/product-detail/Multilayer-Ceramic-Capacitors-MLCC-SMD-SMT_Samwha-Capacitor-CS2012X5R226M250NRE_C513764.html" TargetMode="External"/><Relationship Id="rId71" Type="http://schemas.openxmlformats.org/officeDocument/2006/relationships/hyperlink" Target="https://www.lcsc.com/product-detail/Chip-Resistor-Surface-Mount_YAGEO-RC0603FR-071KL_C22548.html" TargetMode="External"/><Relationship Id="rId92" Type="http://schemas.openxmlformats.org/officeDocument/2006/relationships/hyperlink" Target="https://www.lcsc.com/product-detail/Linear-Voltage-Regulators-LDO_STMicroelectronics-LDK120PU33R_C2971162.html" TargetMode="External"/><Relationship Id="rId2" Type="http://schemas.openxmlformats.org/officeDocument/2006/relationships/hyperlink" Target="https://www.lcsc.com/product-detail/Multilayer-Ceramic-Capacitors-MLCC-SMD-SMT_YAGEO-CC1206KKX7RCBB472_C107198.html" TargetMode="External"/><Relationship Id="rId29" Type="http://schemas.openxmlformats.org/officeDocument/2006/relationships/hyperlink" Target="https://www.lcsc.com/product-detail/Schottky-Barrier-Diodes-SBD_MDD-Microdiode-Electronics-SS34_C8678.html" TargetMode="External"/><Relationship Id="rId24" Type="http://schemas.openxmlformats.org/officeDocument/2006/relationships/hyperlink" Target="https://www.lcsc.com/product-detail/Tantalum-Capacitors_Kyocera-AVX-TAJE337M016RNJ_C51599.html" TargetMode="External"/><Relationship Id="rId40" Type="http://schemas.openxmlformats.org/officeDocument/2006/relationships/hyperlink" Target="https://www.lcsc.com/product-detail/Wire-To-Board-Wire-To-Wire-Connector_JST-Sales-America-S5B-ZR-SM4A-TF-LF-SN_C485355.html" TargetMode="External"/><Relationship Id="rId45" Type="http://schemas.openxmlformats.org/officeDocument/2006/relationships/hyperlink" Target="https://www.lcsc.com/product-detail/Power-Inductors_SXN-Shun-Xiang-Nuo-Elec-SMRH74-220MT_C27442.html" TargetMode="External"/><Relationship Id="rId66" Type="http://schemas.openxmlformats.org/officeDocument/2006/relationships/hyperlink" Target="https://www.lcsc.com/product-detail/Chip-Resistor-Surface-Mount_YAGEO-RC0603FR-0715KL_C114661.html" TargetMode="External"/><Relationship Id="rId87" Type="http://schemas.openxmlformats.org/officeDocument/2006/relationships/hyperlink" Target="https://www.lcsc.com/product-detail/Linear-Voltage-Regulators-LDO_UTC-Unisonic-Tech-LD1117AG-33-AB3-A-R_C81768.html" TargetMode="External"/><Relationship Id="rId110" Type="http://schemas.openxmlformats.org/officeDocument/2006/relationships/hyperlink" Target="https://www.lcsc.com/product-detail/Tactile-Switches_ROCPU-Switches-TP12422673_C5381384.html" TargetMode="External"/><Relationship Id="rId115" Type="http://schemas.openxmlformats.org/officeDocument/2006/relationships/hyperlink" Target="https://vi.aliexpress.com/item/1005004921811549.html" TargetMode="External"/><Relationship Id="rId61" Type="http://schemas.openxmlformats.org/officeDocument/2006/relationships/hyperlink" Target="https://www.lcsc.com/product-detail/Chip-Resistor-Surface-Mount_YAGEO-RT0603BRD0762KL_C136961.html" TargetMode="External"/><Relationship Id="rId82" Type="http://schemas.openxmlformats.org/officeDocument/2006/relationships/hyperlink" Target="https://www.lcsc.com/product-detail/Chip-Resistor-Surface-Mount_YAGEO-RC0603FR-0712K4L_C137798.html" TargetMode="External"/><Relationship Id="rId19" Type="http://schemas.openxmlformats.org/officeDocument/2006/relationships/hyperlink" Target="https://www.lcsc.com/product-detail/Multilayer-Ceramic-Capacitors-MLCC-SMD-SMT_YAGEO-CC0603KRX7R9BB223_C106222.html" TargetMode="External"/><Relationship Id="rId14" Type="http://schemas.openxmlformats.org/officeDocument/2006/relationships/hyperlink" Target="https://www.lcsc.com/product-detail/Multilayer-Ceramic-Capacitors-MLCC-SMD-SMT_YAGEO-CC0805KKX5R9BB225_C326581.html" TargetMode="External"/><Relationship Id="rId30" Type="http://schemas.openxmlformats.org/officeDocument/2006/relationships/hyperlink" Target="https://www.lcsc.com/product-detail/TVS_WILLSEMI-Will-Semicon-ESD5302F-3-TR_C239643.html" TargetMode="External"/><Relationship Id="rId35" Type="http://schemas.openxmlformats.org/officeDocument/2006/relationships/hyperlink" Target="https://www.lcsc.com/product-detail/Ferrite-Beads_Murata-Electronics-BLM18SG121TN1D_C113030.html" TargetMode="External"/><Relationship Id="rId56" Type="http://schemas.openxmlformats.org/officeDocument/2006/relationships/hyperlink" Target="https://www.lcsc.com/product-detail/Chip-Resistor-Surface-Mount_YAGEO-RC0402FR-0747RL_C137973.html" TargetMode="External"/><Relationship Id="rId77" Type="http://schemas.openxmlformats.org/officeDocument/2006/relationships/hyperlink" Target="https://www.lcsc.com/product-detail/Chip-Resistor-Surface-Mount_YAGEO-PE0805FRF470R03L_C858599.html" TargetMode="External"/><Relationship Id="rId100" Type="http://schemas.openxmlformats.org/officeDocument/2006/relationships/hyperlink" Target="https://www.lcsc.com/product-detail/Crystals_Seiko-Epson-Q22FA12800090_C255883.html" TargetMode="External"/><Relationship Id="rId105" Type="http://schemas.openxmlformats.org/officeDocument/2006/relationships/hyperlink" Target="https://www.chipsmall.com/Products/MICS-6814_33188182.html" TargetMode="External"/><Relationship Id="rId8" Type="http://schemas.openxmlformats.org/officeDocument/2006/relationships/hyperlink" Target="https://www.lcsc.com/product-detail/Multilayer-Ceramic-Capacitors-MLCC-SMD-SMT_YAGEO-CC0402KRX5R6BB105_C106254.html" TargetMode="External"/><Relationship Id="rId51" Type="http://schemas.openxmlformats.org/officeDocument/2006/relationships/hyperlink" Target="https://www.lcsc.com/product-detail/Bipolar-Transistors-BJT_TECH-PUBLIC-MMBT3904M_C2923360.html" TargetMode="External"/><Relationship Id="rId72" Type="http://schemas.openxmlformats.org/officeDocument/2006/relationships/hyperlink" Target="https://www.lcsc.com/product-detail/Chip-Resistor-Surface-Mount_YAGEO-RC0603FR-07180KL_C123419.html" TargetMode="External"/><Relationship Id="rId93" Type="http://schemas.openxmlformats.org/officeDocument/2006/relationships/hyperlink" Target="https://www.lcsc.com/product-detail/Microcontroller-Units-MCUs-MPUs-SOCs_STMicroelectronics-STM32F446RCT6_C915971.html" TargetMode="External"/><Relationship Id="rId98" Type="http://schemas.openxmlformats.org/officeDocument/2006/relationships/hyperlink" Target="https://www.lcsc.com/product-detail/Ethernet-ICs_WIZNET-W5500_C32843.html" TargetMode="External"/><Relationship Id="rId3" Type="http://schemas.openxmlformats.org/officeDocument/2006/relationships/hyperlink" Target="https://www.lcsc.com/product-detail/Multilayer-Ceramic-Capacitors-MLCC-SMD-SMT_YAGEO-CC0402KRX5R6BB104_C129131.html" TargetMode="External"/><Relationship Id="rId25" Type="http://schemas.openxmlformats.org/officeDocument/2006/relationships/hyperlink" Target="https://www.lcsc.com/product-detail/Multilayer-Ceramic-Capacitors-MLCC-SMD-SMT_YAGEO-CC0603KRX5R6BB475_C109456.html" TargetMode="External"/><Relationship Id="rId46" Type="http://schemas.openxmlformats.org/officeDocument/2006/relationships/hyperlink" Target="https://www.lcsc.com/product-detail/Inductors-SMD_SHOU-HAN-CYH127-33UH_C2929502.html" TargetMode="External"/><Relationship Id="rId67" Type="http://schemas.openxmlformats.org/officeDocument/2006/relationships/hyperlink" Target="https://www.lcsc.com/product-detail/Chip-Resistor-Surface-Mount_YAGEO-RC0603FR-070RL_C100044.html" TargetMode="External"/><Relationship Id="rId116" Type="http://schemas.openxmlformats.org/officeDocument/2006/relationships/drawing" Target="../drawings/drawing2.xml"/><Relationship Id="rId20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41" Type="http://schemas.openxmlformats.org/officeDocument/2006/relationships/hyperlink" Target="https://www.lcsc.com/product-detail/Wire-To-Board-Wire-To-Wire-Connector_MOLEX-532610871_C293349.html" TargetMode="External"/><Relationship Id="rId62" Type="http://schemas.openxmlformats.org/officeDocument/2006/relationships/hyperlink" Target="https://www.lcsc.com/product-detail/Chip-Resistor-Surface-Mount_YAGEO-RC0603FR-07820RL_C114638.html" TargetMode="External"/><Relationship Id="rId83" Type="http://schemas.openxmlformats.org/officeDocument/2006/relationships/hyperlink" Target="https://www.lcsc.com/product-detail/Resistor-Networks-Arrays_YAGEO-YC164-FR-0710KL_C110924.html" TargetMode="External"/><Relationship Id="rId88" Type="http://schemas.openxmlformats.org/officeDocument/2006/relationships/hyperlink" Target="https://www.lcsc.com/product-detail/Battery-Management-ICs_TOPPOWER-Nanjing-Extension-Microelectronics-TP4056-42-ESOP8_C16581.html" TargetMode="External"/><Relationship Id="rId111" Type="http://schemas.openxmlformats.org/officeDocument/2006/relationships/hyperlink" Target="https://www.lcsc.com/product-detail/Power-Over-Ethernet-Controllers_Texas-Instruments-TPS2375DR_C286739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132"/>
  <sheetViews>
    <sheetView tabSelected="1" topLeftCell="A121" workbookViewId="0">
      <selection activeCell="D147" sqref="D147"/>
    </sheetView>
  </sheetViews>
  <sheetFormatPr defaultRowHeight="15" x14ac:dyDescent="0.25"/>
  <cols>
    <col min="2" max="2" width="4" style="26" bestFit="1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8.85546875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9.28515625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  <col min="21" max="21" width="10.5703125" bestFit="1" customWidth="1"/>
    <col min="22" max="22" width="25.2851562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1"/>
      <c r="L1" s="71"/>
      <c r="M1" s="71"/>
      <c r="N1" s="71"/>
      <c r="O1" s="71"/>
      <c r="P1" s="71"/>
      <c r="Q1" s="71"/>
      <c r="R1" s="71"/>
      <c r="S1" s="72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593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594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3"/>
    </row>
    <row r="4" spans="1:19" x14ac:dyDescent="0.25">
      <c r="A4" s="1"/>
      <c r="B4" s="22"/>
      <c r="C4" s="32"/>
      <c r="D4" s="13" t="s">
        <v>2</v>
      </c>
      <c r="E4" s="13"/>
      <c r="F4" s="57" t="s">
        <v>594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4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4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4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4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4"/>
    </row>
    <row r="9" spans="1:19" ht="15.75" thickBot="1" x14ac:dyDescent="0.3">
      <c r="A9" s="1"/>
      <c r="B9" s="30" t="s">
        <v>4</v>
      </c>
      <c r="C9" s="30" t="s">
        <v>8</v>
      </c>
      <c r="D9" s="30" t="s">
        <v>38</v>
      </c>
      <c r="E9" s="30" t="s">
        <v>145</v>
      </c>
      <c r="F9" s="30" t="s">
        <v>251</v>
      </c>
      <c r="G9" s="30" t="s">
        <v>307</v>
      </c>
      <c r="H9" s="30" t="s">
        <v>397</v>
      </c>
      <c r="I9" s="30" t="s">
        <v>584</v>
      </c>
      <c r="J9" s="30" t="s">
        <v>441</v>
      </c>
      <c r="K9" s="30" t="s">
        <v>592</v>
      </c>
      <c r="L9" s="30" t="s">
        <v>583</v>
      </c>
      <c r="M9" s="30" t="s">
        <v>585</v>
      </c>
      <c r="N9" s="30" t="s">
        <v>586</v>
      </c>
      <c r="O9" s="30" t="s">
        <v>587</v>
      </c>
      <c r="P9" s="30" t="s">
        <v>588</v>
      </c>
      <c r="Q9" s="30" t="s">
        <v>589</v>
      </c>
      <c r="R9" s="30" t="s">
        <v>590</v>
      </c>
      <c r="S9" s="30" t="s">
        <v>591</v>
      </c>
    </row>
    <row r="10" spans="1:19" x14ac:dyDescent="0.25">
      <c r="A10" s="1"/>
      <c r="B10" s="46">
        <f>ROW(B10) - ROW($B$9)</f>
        <v>1</v>
      </c>
      <c r="C10" s="53" t="s">
        <v>9</v>
      </c>
      <c r="D10" s="37" t="s">
        <v>39</v>
      </c>
      <c r="E10" s="37" t="s">
        <v>146</v>
      </c>
      <c r="F10" s="37" t="s">
        <v>252</v>
      </c>
      <c r="G10" s="37" t="s">
        <v>308</v>
      </c>
      <c r="H10" s="37" t="s">
        <v>398</v>
      </c>
      <c r="I10" s="37" t="s">
        <v>601</v>
      </c>
      <c r="J10" s="37" t="s">
        <v>442</v>
      </c>
      <c r="K10" s="37" t="s">
        <v>532</v>
      </c>
      <c r="L10" s="37">
        <v>6</v>
      </c>
      <c r="M10" s="37">
        <f>L10*5</f>
        <v>30</v>
      </c>
      <c r="N10" s="37">
        <v>40</v>
      </c>
      <c r="O10" s="63" t="s">
        <v>600</v>
      </c>
      <c r="P10" s="38">
        <v>2.5999999999999999E-2</v>
      </c>
      <c r="Q10" s="38">
        <f>P10*N10</f>
        <v>1.04</v>
      </c>
      <c r="R10" s="37"/>
      <c r="S10" s="50"/>
    </row>
    <row r="11" spans="1:19" x14ac:dyDescent="0.25">
      <c r="A11" s="1"/>
      <c r="B11" s="47">
        <f t="shared" ref="B11:B127" si="0">ROW(B11) - ROW($B$9)</f>
        <v>2</v>
      </c>
      <c r="C11" s="54" t="s">
        <v>9</v>
      </c>
      <c r="D11" s="51" t="s">
        <v>40</v>
      </c>
      <c r="E11" s="51" t="s">
        <v>147</v>
      </c>
      <c r="F11" s="51" t="s">
        <v>253</v>
      </c>
      <c r="G11" s="51" t="s">
        <v>309</v>
      </c>
      <c r="H11" s="51" t="s">
        <v>398</v>
      </c>
      <c r="I11" s="51" t="s">
        <v>601</v>
      </c>
      <c r="J11" s="51" t="s">
        <v>443</v>
      </c>
      <c r="K11" s="51" t="s">
        <v>533</v>
      </c>
      <c r="L11" s="51">
        <v>1</v>
      </c>
      <c r="M11" s="51">
        <f t="shared" ref="M11" si="1">L11*5</f>
        <v>5</v>
      </c>
      <c r="N11" s="51">
        <v>50</v>
      </c>
      <c r="O11" s="63" t="s">
        <v>600</v>
      </c>
      <c r="P11" s="52">
        <v>1.7500000000000002E-2</v>
      </c>
      <c r="Q11" s="52">
        <f t="shared" ref="Q11" si="2">P11*N11</f>
        <v>0.87500000000000011</v>
      </c>
      <c r="R11" s="51"/>
      <c r="S11" s="51"/>
    </row>
    <row r="12" spans="1:19" ht="24" x14ac:dyDescent="0.25">
      <c r="A12" s="1"/>
      <c r="B12" s="46">
        <f>ROW(B12) - ROW($B$9)</f>
        <v>3</v>
      </c>
      <c r="C12" s="54" t="s">
        <v>9</v>
      </c>
      <c r="D12" s="37" t="s">
        <v>647</v>
      </c>
      <c r="E12" s="37" t="s">
        <v>148</v>
      </c>
      <c r="F12" s="37" t="s">
        <v>254</v>
      </c>
      <c r="G12" s="37" t="s">
        <v>310</v>
      </c>
      <c r="H12" s="37" t="s">
        <v>398</v>
      </c>
      <c r="I12" s="37" t="s">
        <v>601</v>
      </c>
      <c r="J12" s="37" t="s">
        <v>444</v>
      </c>
      <c r="K12" s="37" t="s">
        <v>534</v>
      </c>
      <c r="L12" s="37">
        <v>15</v>
      </c>
      <c r="M12" s="37">
        <f>L12*5</f>
        <v>75</v>
      </c>
      <c r="N12" s="37">
        <v>100</v>
      </c>
      <c r="O12" s="63" t="s">
        <v>600</v>
      </c>
      <c r="P12" s="38">
        <v>1.1000000000000001E-3</v>
      </c>
      <c r="Q12" s="38">
        <f>P12*N12</f>
        <v>0.11</v>
      </c>
      <c r="R12" s="37"/>
      <c r="S12" s="59"/>
    </row>
    <row r="13" spans="1:19" ht="24" x14ac:dyDescent="0.25">
      <c r="A13" s="1"/>
      <c r="B13" s="47">
        <f t="shared" si="0"/>
        <v>4</v>
      </c>
      <c r="C13" s="54" t="s">
        <v>9</v>
      </c>
      <c r="D13" s="51" t="s">
        <v>648</v>
      </c>
      <c r="E13" s="51" t="s">
        <v>149</v>
      </c>
      <c r="F13" s="51" t="s">
        <v>254</v>
      </c>
      <c r="G13" s="51" t="s">
        <v>311</v>
      </c>
      <c r="H13" s="51" t="s">
        <v>399</v>
      </c>
      <c r="I13" s="51" t="s">
        <v>601</v>
      </c>
      <c r="J13" s="51" t="s">
        <v>445</v>
      </c>
      <c r="K13" s="51" t="s">
        <v>534</v>
      </c>
      <c r="L13" s="51">
        <v>11</v>
      </c>
      <c r="M13" s="51">
        <f t="shared" ref="M13" si="3">L13*5</f>
        <v>55</v>
      </c>
      <c r="N13" s="51">
        <v>60</v>
      </c>
      <c r="O13" s="63" t="s">
        <v>600</v>
      </c>
      <c r="P13" s="52">
        <v>7.9000000000000001E-2</v>
      </c>
      <c r="Q13" s="52">
        <f t="shared" ref="Q13" si="4">P13*N13</f>
        <v>4.74</v>
      </c>
      <c r="R13" s="51"/>
      <c r="S13" s="59"/>
    </row>
    <row r="14" spans="1:19" x14ac:dyDescent="0.25">
      <c r="A14" s="1"/>
      <c r="B14" s="46">
        <f>ROW(B14) - ROW($B$9)</f>
        <v>5</v>
      </c>
      <c r="C14" s="54" t="s">
        <v>9</v>
      </c>
      <c r="D14" s="37" t="s">
        <v>41</v>
      </c>
      <c r="E14" s="37" t="s">
        <v>150</v>
      </c>
      <c r="F14" s="37" t="s">
        <v>254</v>
      </c>
      <c r="G14" s="37" t="s">
        <v>312</v>
      </c>
      <c r="H14" s="37" t="s">
        <v>398</v>
      </c>
      <c r="I14" s="37" t="s">
        <v>601</v>
      </c>
      <c r="J14" s="37" t="s">
        <v>446</v>
      </c>
      <c r="K14" s="37" t="s">
        <v>532</v>
      </c>
      <c r="L14" s="37">
        <v>6</v>
      </c>
      <c r="M14" s="37">
        <f>L14*5</f>
        <v>30</v>
      </c>
      <c r="N14" s="37">
        <v>40</v>
      </c>
      <c r="O14" s="63" t="s">
        <v>600</v>
      </c>
      <c r="P14" s="38">
        <v>2.53E-2</v>
      </c>
      <c r="Q14" s="38">
        <f>P14*N14</f>
        <v>1.012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42</v>
      </c>
      <c r="E15" s="51" t="s">
        <v>151</v>
      </c>
      <c r="F15" s="51" t="s">
        <v>255</v>
      </c>
      <c r="G15" s="51" t="s">
        <v>313</v>
      </c>
      <c r="H15" s="51" t="s">
        <v>400</v>
      </c>
      <c r="I15" s="37" t="s">
        <v>601</v>
      </c>
      <c r="J15" s="51" t="s">
        <v>447</v>
      </c>
      <c r="K15" s="51" t="s">
        <v>535</v>
      </c>
      <c r="L15" s="51">
        <v>1</v>
      </c>
      <c r="M15" s="51">
        <f t="shared" ref="M15" si="5">L15*5</f>
        <v>5</v>
      </c>
      <c r="N15" s="51">
        <v>10</v>
      </c>
      <c r="O15" s="63" t="s">
        <v>600</v>
      </c>
      <c r="P15" s="52">
        <v>0.26129999999999998</v>
      </c>
      <c r="Q15" s="52">
        <f t="shared" ref="Q15" si="6">P15*N15</f>
        <v>2.6129999999999995</v>
      </c>
      <c r="R15" s="51"/>
      <c r="S15" s="59"/>
    </row>
    <row r="16" spans="1:19" ht="36" x14ac:dyDescent="0.25">
      <c r="A16" s="1"/>
      <c r="B16" s="46">
        <f>ROW(B16) - ROW($B$9)</f>
        <v>7</v>
      </c>
      <c r="C16" s="54" t="s">
        <v>9</v>
      </c>
      <c r="D16" s="37" t="s">
        <v>43</v>
      </c>
      <c r="E16" s="37" t="s">
        <v>152</v>
      </c>
      <c r="F16" s="37" t="s">
        <v>256</v>
      </c>
      <c r="G16" s="37" t="s">
        <v>314</v>
      </c>
      <c r="H16" s="37" t="s">
        <v>401</v>
      </c>
      <c r="I16" s="51" t="s">
        <v>601</v>
      </c>
      <c r="J16" s="37" t="s">
        <v>448</v>
      </c>
      <c r="K16" s="37" t="s">
        <v>536</v>
      </c>
      <c r="L16" s="37">
        <v>2</v>
      </c>
      <c r="M16" s="37">
        <f>L16*5</f>
        <v>10</v>
      </c>
      <c r="N16" s="37">
        <v>20</v>
      </c>
      <c r="O16" s="63" t="s">
        <v>600</v>
      </c>
      <c r="P16" s="38">
        <v>5.5599999999999997E-2</v>
      </c>
      <c r="Q16" s="38">
        <f>P16*N16</f>
        <v>1.1119999999999999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9</v>
      </c>
      <c r="D17" s="51" t="s">
        <v>44</v>
      </c>
      <c r="E17" s="51" t="s">
        <v>602</v>
      </c>
      <c r="F17" s="51" t="s">
        <v>255</v>
      </c>
      <c r="G17" s="51" t="s">
        <v>603</v>
      </c>
      <c r="H17" s="51" t="s">
        <v>400</v>
      </c>
      <c r="I17" s="37" t="s">
        <v>601</v>
      </c>
      <c r="J17" s="51" t="s">
        <v>604</v>
      </c>
      <c r="K17" s="51" t="s">
        <v>605</v>
      </c>
      <c r="L17" s="51">
        <v>1</v>
      </c>
      <c r="M17" s="51">
        <f t="shared" ref="M17" si="7">L17*5</f>
        <v>5</v>
      </c>
      <c r="N17" s="51">
        <v>6</v>
      </c>
      <c r="O17" s="63" t="s">
        <v>600</v>
      </c>
      <c r="P17" s="52">
        <v>0.1772</v>
      </c>
      <c r="Q17" s="52">
        <f t="shared" ref="Q17" si="8">P17*N17</f>
        <v>1.0631999999999999</v>
      </c>
      <c r="R17" s="51"/>
      <c r="S17" s="59"/>
    </row>
    <row r="18" spans="1:19" x14ac:dyDescent="0.25">
      <c r="A18" s="1"/>
      <c r="B18" s="47">
        <f>ROW(B18) - ROW($B$9)</f>
        <v>9</v>
      </c>
      <c r="C18" s="54" t="s">
        <v>9</v>
      </c>
      <c r="D18" s="51" t="s">
        <v>45</v>
      </c>
      <c r="E18" s="51" t="s">
        <v>154</v>
      </c>
      <c r="F18" s="51" t="s">
        <v>252</v>
      </c>
      <c r="G18" s="51" t="s">
        <v>316</v>
      </c>
      <c r="H18" s="51" t="s">
        <v>398</v>
      </c>
      <c r="I18" s="51" t="s">
        <v>601</v>
      </c>
      <c r="J18" s="51" t="s">
        <v>450</v>
      </c>
      <c r="K18" s="51" t="s">
        <v>538</v>
      </c>
      <c r="L18" s="51">
        <v>3</v>
      </c>
      <c r="M18" s="51">
        <f t="shared" ref="M18" si="9">L18*5</f>
        <v>15</v>
      </c>
      <c r="N18" s="51">
        <v>100</v>
      </c>
      <c r="O18" s="63" t="s">
        <v>600</v>
      </c>
      <c r="P18" s="52">
        <v>3.5999999999999999E-3</v>
      </c>
      <c r="Q18" s="52">
        <f t="shared" ref="Q18" si="10">P18*N18</f>
        <v>0.36</v>
      </c>
      <c r="R18" s="51"/>
      <c r="S18" s="59"/>
    </row>
    <row r="19" spans="1:19" x14ac:dyDescent="0.25">
      <c r="A19" s="1"/>
      <c r="B19" s="46">
        <f>ROW(B19) - ROW($B$9)</f>
        <v>10</v>
      </c>
      <c r="C19" s="54" t="s">
        <v>9</v>
      </c>
      <c r="D19" s="37" t="s">
        <v>46</v>
      </c>
      <c r="E19" s="37" t="s">
        <v>155</v>
      </c>
      <c r="F19" s="37" t="s">
        <v>252</v>
      </c>
      <c r="G19" s="37" t="s">
        <v>317</v>
      </c>
      <c r="H19" s="37" t="s">
        <v>398</v>
      </c>
      <c r="I19" s="37" t="s">
        <v>601</v>
      </c>
      <c r="J19" s="37" t="s">
        <v>451</v>
      </c>
      <c r="K19" s="37" t="s">
        <v>539</v>
      </c>
      <c r="L19" s="37">
        <v>1</v>
      </c>
      <c r="M19" s="37">
        <f>L19*5</f>
        <v>5</v>
      </c>
      <c r="N19" s="37">
        <v>100</v>
      </c>
      <c r="O19" s="63" t="s">
        <v>600</v>
      </c>
      <c r="P19" s="38">
        <v>2.7000000000000001E-3</v>
      </c>
      <c r="Q19" s="38">
        <f>P19*N19</f>
        <v>0.27</v>
      </c>
      <c r="R19" s="37"/>
      <c r="S19" s="59"/>
    </row>
    <row r="20" spans="1:19" x14ac:dyDescent="0.25">
      <c r="A20" s="1"/>
      <c r="B20" s="47">
        <f t="shared" si="0"/>
        <v>11</v>
      </c>
      <c r="C20" s="54" t="s">
        <v>9</v>
      </c>
      <c r="D20" s="51" t="s">
        <v>47</v>
      </c>
      <c r="E20" s="51" t="s">
        <v>156</v>
      </c>
      <c r="F20" s="51" t="s">
        <v>252</v>
      </c>
      <c r="G20" s="51" t="s">
        <v>318</v>
      </c>
      <c r="H20" s="51" t="s">
        <v>398</v>
      </c>
      <c r="I20" s="51" t="s">
        <v>601</v>
      </c>
      <c r="J20" s="51" t="s">
        <v>452</v>
      </c>
      <c r="K20" s="51" t="s">
        <v>540</v>
      </c>
      <c r="L20" s="51">
        <v>3</v>
      </c>
      <c r="M20" s="51">
        <f t="shared" ref="M20" si="11">L20*5</f>
        <v>15</v>
      </c>
      <c r="N20" s="51">
        <v>50</v>
      </c>
      <c r="O20" s="63" t="s">
        <v>600</v>
      </c>
      <c r="P20" s="52">
        <v>1.4999999999999999E-2</v>
      </c>
      <c r="Q20" s="52">
        <f t="shared" ref="Q20" si="12">P20*N20</f>
        <v>0.75</v>
      </c>
      <c r="R20" s="51"/>
      <c r="S20" s="59"/>
    </row>
    <row r="21" spans="1:19" x14ac:dyDescent="0.25">
      <c r="A21" s="1"/>
      <c r="B21" s="46">
        <f>ROW(B21) - ROW($B$9)</f>
        <v>12</v>
      </c>
      <c r="C21" s="54" t="s">
        <v>9</v>
      </c>
      <c r="D21" s="37" t="s">
        <v>48</v>
      </c>
      <c r="E21" s="37" t="s">
        <v>157</v>
      </c>
      <c r="F21" s="37" t="s">
        <v>257</v>
      </c>
      <c r="G21" s="70" t="s">
        <v>319</v>
      </c>
      <c r="H21" s="37" t="s">
        <v>399</v>
      </c>
      <c r="I21" s="37" t="s">
        <v>626</v>
      </c>
      <c r="J21" s="37" t="s">
        <v>627</v>
      </c>
      <c r="K21" s="37" t="s">
        <v>541</v>
      </c>
      <c r="L21" s="37">
        <v>2</v>
      </c>
      <c r="M21" s="37">
        <f>L21*5</f>
        <v>10</v>
      </c>
      <c r="N21" s="37">
        <v>100</v>
      </c>
      <c r="O21" s="63" t="s">
        <v>600</v>
      </c>
      <c r="P21" s="38">
        <v>1.1000000000000001E-3</v>
      </c>
      <c r="Q21" s="38">
        <f>P21*N21</f>
        <v>0.11</v>
      </c>
      <c r="R21" s="37"/>
      <c r="S21" s="59"/>
    </row>
    <row r="22" spans="1:19" x14ac:dyDescent="0.25">
      <c r="A22" s="1"/>
      <c r="B22" s="47">
        <f t="shared" si="0"/>
        <v>13</v>
      </c>
      <c r="C22" s="54" t="s">
        <v>9</v>
      </c>
      <c r="D22" s="51" t="s">
        <v>49</v>
      </c>
      <c r="E22" s="51" t="s">
        <v>158</v>
      </c>
      <c r="F22" s="51" t="s">
        <v>252</v>
      </c>
      <c r="G22" s="51" t="s">
        <v>320</v>
      </c>
      <c r="H22" s="51" t="s">
        <v>398</v>
      </c>
      <c r="I22" s="37" t="s">
        <v>601</v>
      </c>
      <c r="J22" s="51" t="s">
        <v>453</v>
      </c>
      <c r="K22" s="51" t="s">
        <v>542</v>
      </c>
      <c r="L22" s="51">
        <v>2</v>
      </c>
      <c r="M22" s="51">
        <f t="shared" ref="M22" si="13">L22*5</f>
        <v>10</v>
      </c>
      <c r="N22" s="51">
        <v>100</v>
      </c>
      <c r="O22" s="63" t="s">
        <v>600</v>
      </c>
      <c r="P22" s="52">
        <v>3.0000000000000001E-3</v>
      </c>
      <c r="Q22" s="52">
        <f t="shared" ref="Q22" si="14">P22*N22</f>
        <v>0.3</v>
      </c>
      <c r="R22" s="51"/>
      <c r="S22" s="59"/>
    </row>
    <row r="23" spans="1:19" ht="24" x14ac:dyDescent="0.25">
      <c r="A23" s="1"/>
      <c r="B23" s="46">
        <f>ROW(B23) - ROW($B$9)</f>
        <v>14</v>
      </c>
      <c r="C23" s="53" t="s">
        <v>9</v>
      </c>
      <c r="D23" s="37" t="s">
        <v>50</v>
      </c>
      <c r="E23" s="37" t="s">
        <v>159</v>
      </c>
      <c r="F23" s="37" t="s">
        <v>258</v>
      </c>
      <c r="G23" s="37" t="s">
        <v>321</v>
      </c>
      <c r="H23" s="37" t="s">
        <v>402</v>
      </c>
      <c r="I23" s="51" t="s">
        <v>601</v>
      </c>
      <c r="J23" s="37" t="s">
        <v>454</v>
      </c>
      <c r="K23" s="37" t="s">
        <v>532</v>
      </c>
      <c r="L23" s="37">
        <v>1</v>
      </c>
      <c r="M23" s="37">
        <f>L23*5</f>
        <v>5</v>
      </c>
      <c r="N23" s="37">
        <v>10</v>
      </c>
      <c r="O23" s="63" t="s">
        <v>600</v>
      </c>
      <c r="P23" s="38">
        <v>7.0900000000000005E-2</v>
      </c>
      <c r="Q23" s="38">
        <f>P23*N23</f>
        <v>0.70900000000000007</v>
      </c>
      <c r="R23" s="37"/>
      <c r="S23" s="59"/>
    </row>
    <row r="24" spans="1:19" x14ac:dyDescent="0.25">
      <c r="A24" s="1"/>
      <c r="B24" s="47">
        <f t="shared" si="0"/>
        <v>15</v>
      </c>
      <c r="C24" s="54" t="s">
        <v>9</v>
      </c>
      <c r="D24" s="51" t="s">
        <v>51</v>
      </c>
      <c r="E24" s="51" t="s">
        <v>160</v>
      </c>
      <c r="F24" s="51" t="s">
        <v>256</v>
      </c>
      <c r="G24" s="51" t="s">
        <v>322</v>
      </c>
      <c r="H24" s="51" t="s">
        <v>398</v>
      </c>
      <c r="I24" s="37" t="s">
        <v>601</v>
      </c>
      <c r="J24" s="51" t="s">
        <v>455</v>
      </c>
      <c r="K24" s="51" t="s">
        <v>543</v>
      </c>
      <c r="L24" s="51">
        <v>1</v>
      </c>
      <c r="M24" s="51">
        <f t="shared" ref="M24" si="15">L24*5</f>
        <v>5</v>
      </c>
      <c r="N24" s="51">
        <v>20</v>
      </c>
      <c r="O24" s="63" t="s">
        <v>600</v>
      </c>
      <c r="P24" s="52">
        <v>2.87E-2</v>
      </c>
      <c r="Q24" s="52">
        <f t="shared" ref="Q24" si="16">P24*N24</f>
        <v>0.57399999999999995</v>
      </c>
      <c r="R24" s="51"/>
      <c r="S24" s="59"/>
    </row>
    <row r="25" spans="1:19" x14ac:dyDescent="0.25">
      <c r="A25" s="1"/>
      <c r="B25" s="46">
        <f>ROW(B25) - ROW($B$9)</f>
        <v>16</v>
      </c>
      <c r="C25" s="54" t="s">
        <v>9</v>
      </c>
      <c r="D25" s="51" t="s">
        <v>649</v>
      </c>
      <c r="E25" s="37" t="s">
        <v>153</v>
      </c>
      <c r="F25" s="37" t="s">
        <v>254</v>
      </c>
      <c r="G25" s="37" t="s">
        <v>315</v>
      </c>
      <c r="H25" s="37" t="s">
        <v>398</v>
      </c>
      <c r="I25" s="37" t="s">
        <v>601</v>
      </c>
      <c r="J25" s="37" t="s">
        <v>449</v>
      </c>
      <c r="K25" s="37" t="s">
        <v>537</v>
      </c>
      <c r="L25" s="37">
        <v>1</v>
      </c>
      <c r="M25" s="37">
        <f>L25*5</f>
        <v>5</v>
      </c>
      <c r="N25" s="37">
        <v>100</v>
      </c>
      <c r="O25" s="63" t="s">
        <v>600</v>
      </c>
      <c r="P25" s="38">
        <v>2.3999999999999998E-3</v>
      </c>
      <c r="Q25" s="38">
        <f>P25*N25</f>
        <v>0.24</v>
      </c>
      <c r="R25" s="37"/>
      <c r="S25" s="59"/>
    </row>
    <row r="26" spans="1:19" x14ac:dyDescent="0.25">
      <c r="A26" s="1"/>
      <c r="B26" s="46">
        <f>ROW(B26) - ROW($B$9)</f>
        <v>17</v>
      </c>
      <c r="C26" s="53" t="s">
        <v>9</v>
      </c>
      <c r="D26" s="37" t="s">
        <v>52</v>
      </c>
      <c r="E26" s="37" t="s">
        <v>161</v>
      </c>
      <c r="F26" s="37" t="s">
        <v>252</v>
      </c>
      <c r="G26" s="37" t="s">
        <v>323</v>
      </c>
      <c r="H26" s="37" t="s">
        <v>398</v>
      </c>
      <c r="I26" s="37" t="s">
        <v>601</v>
      </c>
      <c r="J26" s="37" t="s">
        <v>456</v>
      </c>
      <c r="K26" s="37" t="s">
        <v>536</v>
      </c>
      <c r="L26" s="37">
        <v>1</v>
      </c>
      <c r="M26" s="37">
        <f>L26*5</f>
        <v>5</v>
      </c>
      <c r="N26" s="37">
        <v>20</v>
      </c>
      <c r="O26" s="63" t="s">
        <v>600</v>
      </c>
      <c r="P26" s="38">
        <v>3.5200000000000002E-2</v>
      </c>
      <c r="Q26" s="38">
        <f>P26*N26</f>
        <v>0.70400000000000007</v>
      </c>
      <c r="R26" s="37"/>
      <c r="S26" s="59"/>
    </row>
    <row r="27" spans="1:19" x14ac:dyDescent="0.25">
      <c r="A27" s="1"/>
      <c r="B27" s="47">
        <f t="shared" si="0"/>
        <v>18</v>
      </c>
      <c r="C27" s="54" t="s">
        <v>9</v>
      </c>
      <c r="D27" s="51" t="s">
        <v>53</v>
      </c>
      <c r="E27" s="51" t="s">
        <v>162</v>
      </c>
      <c r="F27" s="51" t="s">
        <v>253</v>
      </c>
      <c r="G27" s="51" t="s">
        <v>324</v>
      </c>
      <c r="H27" s="51" t="s">
        <v>398</v>
      </c>
      <c r="I27" s="51" t="s">
        <v>601</v>
      </c>
      <c r="J27" s="51" t="s">
        <v>457</v>
      </c>
      <c r="K27" s="51" t="s">
        <v>544</v>
      </c>
      <c r="L27" s="51">
        <v>1</v>
      </c>
      <c r="M27" s="51">
        <f t="shared" ref="M27" si="17">L27*5</f>
        <v>5</v>
      </c>
      <c r="N27" s="51">
        <v>50</v>
      </c>
      <c r="O27" s="63" t="s">
        <v>600</v>
      </c>
      <c r="P27" s="52">
        <v>1.23E-2</v>
      </c>
      <c r="Q27" s="52">
        <f t="shared" ref="Q27" si="18">P27*N27</f>
        <v>0.61499999999999999</v>
      </c>
      <c r="R27" s="51"/>
      <c r="S27" s="59"/>
    </row>
    <row r="28" spans="1:19" x14ac:dyDescent="0.25">
      <c r="A28" s="1"/>
      <c r="B28" s="46">
        <f>ROW(B28) - ROW($B$9)</f>
        <v>19</v>
      </c>
      <c r="C28" s="53" t="s">
        <v>9</v>
      </c>
      <c r="D28" s="37" t="s">
        <v>54</v>
      </c>
      <c r="E28" s="37" t="s">
        <v>163</v>
      </c>
      <c r="F28" s="37" t="s">
        <v>252</v>
      </c>
      <c r="G28" s="37" t="s">
        <v>325</v>
      </c>
      <c r="H28" s="37" t="s">
        <v>398</v>
      </c>
      <c r="I28" s="37" t="s">
        <v>601</v>
      </c>
      <c r="J28" s="37" t="s">
        <v>458</v>
      </c>
      <c r="K28" s="37" t="s">
        <v>534</v>
      </c>
      <c r="L28" s="37">
        <v>2</v>
      </c>
      <c r="M28" s="37">
        <f>L28*5</f>
        <v>10</v>
      </c>
      <c r="N28" s="37">
        <v>100</v>
      </c>
      <c r="O28" s="63" t="s">
        <v>600</v>
      </c>
      <c r="P28" s="38">
        <v>5.3E-3</v>
      </c>
      <c r="Q28" s="38">
        <f>P28*N28</f>
        <v>0.53</v>
      </c>
      <c r="R28" s="37"/>
      <c r="S28" s="59"/>
    </row>
    <row r="29" spans="1:19" x14ac:dyDescent="0.25">
      <c r="A29" s="1"/>
      <c r="B29" s="47">
        <f t="shared" si="0"/>
        <v>20</v>
      </c>
      <c r="C29" s="54" t="s">
        <v>9</v>
      </c>
      <c r="D29" s="51" t="s">
        <v>55</v>
      </c>
      <c r="E29" s="51" t="s">
        <v>164</v>
      </c>
      <c r="F29" s="51" t="s">
        <v>252</v>
      </c>
      <c r="G29" s="51" t="s">
        <v>326</v>
      </c>
      <c r="H29" s="51" t="s">
        <v>398</v>
      </c>
      <c r="I29" s="51" t="s">
        <v>601</v>
      </c>
      <c r="J29" s="51" t="s">
        <v>459</v>
      </c>
      <c r="K29" s="51" t="s">
        <v>545</v>
      </c>
      <c r="L29" s="51">
        <v>1</v>
      </c>
      <c r="M29" s="51">
        <f t="shared" ref="M29" si="19">L29*5</f>
        <v>5</v>
      </c>
      <c r="N29" s="51">
        <v>100</v>
      </c>
      <c r="O29" s="63" t="s">
        <v>600</v>
      </c>
      <c r="P29" s="52">
        <v>3.2000000000000002E-3</v>
      </c>
      <c r="Q29" s="52">
        <f t="shared" ref="Q29" si="20">P29*N29</f>
        <v>0.32</v>
      </c>
      <c r="R29" s="51"/>
      <c r="S29" s="59"/>
    </row>
    <row r="30" spans="1:19" x14ac:dyDescent="0.25">
      <c r="A30" s="1"/>
      <c r="B30" s="46">
        <f>ROW(B30) - ROW($B$9)</f>
        <v>21</v>
      </c>
      <c r="C30" s="53" t="s">
        <v>9</v>
      </c>
      <c r="D30" s="37" t="s">
        <v>56</v>
      </c>
      <c r="E30" s="37" t="s">
        <v>165</v>
      </c>
      <c r="F30" s="37" t="s">
        <v>252</v>
      </c>
      <c r="G30" s="37" t="s">
        <v>327</v>
      </c>
      <c r="H30" s="37" t="s">
        <v>403</v>
      </c>
      <c r="I30" s="37" t="s">
        <v>601</v>
      </c>
      <c r="J30" s="37" t="s">
        <v>460</v>
      </c>
      <c r="K30" s="37" t="s">
        <v>546</v>
      </c>
      <c r="L30" s="37">
        <v>2</v>
      </c>
      <c r="M30" s="37">
        <f>L30*5</f>
        <v>10</v>
      </c>
      <c r="N30" s="37">
        <v>100</v>
      </c>
      <c r="O30" s="63" t="s">
        <v>600</v>
      </c>
      <c r="P30" s="38">
        <v>2.8E-3</v>
      </c>
      <c r="Q30" s="38">
        <f>P30*N30</f>
        <v>0.27999999999999997</v>
      </c>
      <c r="R30" s="37"/>
      <c r="S30" s="59"/>
    </row>
    <row r="31" spans="1:19" ht="36" x14ac:dyDescent="0.25">
      <c r="A31" s="1"/>
      <c r="B31" s="47">
        <f t="shared" si="0"/>
        <v>22</v>
      </c>
      <c r="C31" s="54" t="s">
        <v>9</v>
      </c>
      <c r="D31" s="66" t="s">
        <v>57</v>
      </c>
      <c r="E31" s="51" t="s">
        <v>657</v>
      </c>
      <c r="F31" s="51" t="s">
        <v>595</v>
      </c>
      <c r="G31" s="51" t="s">
        <v>651</v>
      </c>
      <c r="H31" s="51" t="s">
        <v>658</v>
      </c>
      <c r="I31" s="51" t="s">
        <v>601</v>
      </c>
      <c r="J31" s="51" t="s">
        <v>659</v>
      </c>
      <c r="K31" s="51" t="s">
        <v>547</v>
      </c>
      <c r="L31" s="51">
        <v>1</v>
      </c>
      <c r="M31" s="51">
        <f t="shared" ref="M31" si="21">L31*5</f>
        <v>5</v>
      </c>
      <c r="N31" s="51">
        <v>10</v>
      </c>
      <c r="O31" s="63" t="s">
        <v>600</v>
      </c>
      <c r="P31" s="52">
        <v>1.7399999999999999E-2</v>
      </c>
      <c r="Q31" s="52">
        <f t="shared" ref="Q31" si="22">P31*N31</f>
        <v>0.17399999999999999</v>
      </c>
      <c r="R31" s="51"/>
      <c r="S31" s="59"/>
    </row>
    <row r="32" spans="1:19" x14ac:dyDescent="0.25">
      <c r="A32" s="1"/>
      <c r="B32" s="46">
        <f>ROW(B32) - ROW($B$9)</f>
        <v>23</v>
      </c>
      <c r="C32" s="53" t="s">
        <v>9</v>
      </c>
      <c r="D32" s="37" t="s">
        <v>58</v>
      </c>
      <c r="E32" s="37" t="s">
        <v>166</v>
      </c>
      <c r="F32" s="37" t="s">
        <v>256</v>
      </c>
      <c r="G32" s="37" t="s">
        <v>328</v>
      </c>
      <c r="H32" s="37" t="s">
        <v>398</v>
      </c>
      <c r="I32" s="51" t="s">
        <v>601</v>
      </c>
      <c r="J32" s="37" t="s">
        <v>461</v>
      </c>
      <c r="K32" s="37" t="s">
        <v>536</v>
      </c>
      <c r="L32" s="37">
        <v>2</v>
      </c>
      <c r="M32" s="37">
        <f>L32*5</f>
        <v>10</v>
      </c>
      <c r="N32" s="37">
        <v>20</v>
      </c>
      <c r="O32" s="63" t="s">
        <v>600</v>
      </c>
      <c r="P32" s="38">
        <v>6.4199999999999993E-2</v>
      </c>
      <c r="Q32" s="38">
        <f>P32*N32</f>
        <v>1.2839999999999998</v>
      </c>
      <c r="R32" s="37"/>
      <c r="S32" s="59"/>
    </row>
    <row r="33" spans="1:19" x14ac:dyDescent="0.25">
      <c r="A33" s="1"/>
      <c r="B33" s="47">
        <f t="shared" si="0"/>
        <v>24</v>
      </c>
      <c r="C33" s="54" t="s">
        <v>9</v>
      </c>
      <c r="D33" s="51" t="s">
        <v>59</v>
      </c>
      <c r="E33" s="51" t="s">
        <v>167</v>
      </c>
      <c r="F33" s="51" t="s">
        <v>252</v>
      </c>
      <c r="G33" s="51" t="s">
        <v>329</v>
      </c>
      <c r="H33" s="51" t="s">
        <v>398</v>
      </c>
      <c r="I33" s="37" t="s">
        <v>601</v>
      </c>
      <c r="J33" s="51" t="s">
        <v>462</v>
      </c>
      <c r="K33" s="51" t="s">
        <v>532</v>
      </c>
      <c r="L33" s="51">
        <v>2</v>
      </c>
      <c r="M33" s="51">
        <f t="shared" ref="M33" si="23">L33*5</f>
        <v>10</v>
      </c>
      <c r="N33" s="51">
        <v>15</v>
      </c>
      <c r="O33" s="63" t="s">
        <v>600</v>
      </c>
      <c r="P33" s="52">
        <v>0.1552</v>
      </c>
      <c r="Q33" s="52">
        <f t="shared" ref="Q33" si="24">P33*N33</f>
        <v>2.3280000000000003</v>
      </c>
      <c r="R33" s="51"/>
      <c r="S33" s="59"/>
    </row>
    <row r="34" spans="1:19" x14ac:dyDescent="0.25">
      <c r="A34" s="1"/>
      <c r="B34" s="46">
        <f>ROW(B34) - ROW($B$9)</f>
        <v>25</v>
      </c>
      <c r="C34" s="54" t="s">
        <v>9</v>
      </c>
      <c r="D34" s="37" t="s">
        <v>60</v>
      </c>
      <c r="E34" s="37" t="s">
        <v>168</v>
      </c>
      <c r="F34" s="37" t="s">
        <v>252</v>
      </c>
      <c r="G34" s="37" t="s">
        <v>618</v>
      </c>
      <c r="H34" s="37" t="s">
        <v>398</v>
      </c>
      <c r="I34" s="37" t="s">
        <v>601</v>
      </c>
      <c r="J34" s="37" t="s">
        <v>463</v>
      </c>
      <c r="K34" s="37" t="s">
        <v>548</v>
      </c>
      <c r="L34" s="37">
        <v>3</v>
      </c>
      <c r="M34" s="37">
        <f>L34*5</f>
        <v>15</v>
      </c>
      <c r="N34" s="37">
        <v>100</v>
      </c>
      <c r="O34" s="63" t="s">
        <v>600</v>
      </c>
      <c r="P34" s="38">
        <v>2.7000000000000001E-3</v>
      </c>
      <c r="Q34" s="38">
        <f>P34*N34</f>
        <v>0.27</v>
      </c>
      <c r="R34" s="37"/>
      <c r="S34" s="59"/>
    </row>
    <row r="35" spans="1:19" x14ac:dyDescent="0.25">
      <c r="A35" s="1"/>
      <c r="B35" s="47">
        <f t="shared" si="0"/>
        <v>26</v>
      </c>
      <c r="C35" s="54" t="s">
        <v>9</v>
      </c>
      <c r="D35" s="51" t="s">
        <v>61</v>
      </c>
      <c r="E35" s="51" t="s">
        <v>606</v>
      </c>
      <c r="F35" s="51" t="s">
        <v>607</v>
      </c>
      <c r="G35" s="51" t="s">
        <v>608</v>
      </c>
      <c r="H35" s="51" t="s">
        <v>400</v>
      </c>
      <c r="I35" s="37" t="s">
        <v>601</v>
      </c>
      <c r="J35" s="51" t="s">
        <v>609</v>
      </c>
      <c r="K35" s="51" t="s">
        <v>610</v>
      </c>
      <c r="L35" s="51">
        <v>1</v>
      </c>
      <c r="M35" s="51">
        <f t="shared" ref="M35" si="25">L35*5</f>
        <v>5</v>
      </c>
      <c r="N35" s="51">
        <v>6</v>
      </c>
      <c r="O35" s="63" t="s">
        <v>600</v>
      </c>
      <c r="P35" s="52">
        <v>1.5511999999999999</v>
      </c>
      <c r="Q35" s="52">
        <f t="shared" ref="Q35" si="26">P35*N35</f>
        <v>9.3071999999999999</v>
      </c>
      <c r="R35" s="51"/>
      <c r="S35" s="59"/>
    </row>
    <row r="36" spans="1:19" x14ac:dyDescent="0.25">
      <c r="A36" s="1"/>
      <c r="B36" s="46">
        <f>ROW(B36) - ROW($B$9)</f>
        <v>27</v>
      </c>
      <c r="C36" s="54" t="s">
        <v>9</v>
      </c>
      <c r="D36" s="37" t="s">
        <v>62</v>
      </c>
      <c r="E36" s="37" t="s">
        <v>169</v>
      </c>
      <c r="F36" s="37" t="s">
        <v>252</v>
      </c>
      <c r="G36" s="37" t="s">
        <v>330</v>
      </c>
      <c r="H36" s="37" t="s">
        <v>398</v>
      </c>
      <c r="I36" s="51" t="s">
        <v>601</v>
      </c>
      <c r="J36" s="37" t="s">
        <v>464</v>
      </c>
      <c r="K36" s="37" t="s">
        <v>549</v>
      </c>
      <c r="L36" s="37">
        <v>1</v>
      </c>
      <c r="M36" s="37">
        <f>L36*5</f>
        <v>5</v>
      </c>
      <c r="N36" s="37">
        <v>50</v>
      </c>
      <c r="O36" s="63" t="s">
        <v>600</v>
      </c>
      <c r="P36" s="38">
        <v>1.47E-2</v>
      </c>
      <c r="Q36" s="38">
        <f>P36*N36</f>
        <v>0.73499999999999999</v>
      </c>
      <c r="R36" s="37"/>
      <c r="S36" s="59"/>
    </row>
    <row r="37" spans="1:19" ht="24" x14ac:dyDescent="0.25">
      <c r="A37" s="1"/>
      <c r="B37" s="47">
        <f t="shared" si="0"/>
        <v>28</v>
      </c>
      <c r="C37" s="53" t="s">
        <v>10</v>
      </c>
      <c r="D37" s="51" t="s">
        <v>63</v>
      </c>
      <c r="E37" s="51" t="s">
        <v>170</v>
      </c>
      <c r="F37" s="51" t="s">
        <v>259</v>
      </c>
      <c r="G37" s="51" t="s">
        <v>331</v>
      </c>
      <c r="H37" s="51" t="s">
        <v>404</v>
      </c>
      <c r="I37" s="51" t="s">
        <v>601</v>
      </c>
      <c r="J37" s="51" t="s">
        <v>465</v>
      </c>
      <c r="K37" s="51" t="s">
        <v>601</v>
      </c>
      <c r="L37" s="51">
        <v>1</v>
      </c>
      <c r="M37" s="51">
        <f t="shared" ref="M37" si="27">L37*5</f>
        <v>5</v>
      </c>
      <c r="N37" s="51">
        <v>10</v>
      </c>
      <c r="O37" s="63" t="s">
        <v>600</v>
      </c>
      <c r="P37" s="52">
        <v>8.6499999999999994E-2</v>
      </c>
      <c r="Q37" s="52">
        <f t="shared" ref="Q37" si="28">P37*N37</f>
        <v>0.86499999999999999</v>
      </c>
      <c r="R37" s="51"/>
      <c r="S37" s="59"/>
    </row>
    <row r="38" spans="1:19" ht="24" x14ac:dyDescent="0.25">
      <c r="A38" s="1"/>
      <c r="B38" s="46">
        <f>ROW(B38) - ROW($B$9)</f>
        <v>29</v>
      </c>
      <c r="C38" s="53" t="s">
        <v>10</v>
      </c>
      <c r="D38" s="37" t="s">
        <v>64</v>
      </c>
      <c r="E38" s="37" t="s">
        <v>171</v>
      </c>
      <c r="F38" s="37" t="s">
        <v>260</v>
      </c>
      <c r="G38" s="37" t="s">
        <v>332</v>
      </c>
      <c r="H38" s="37" t="s">
        <v>405</v>
      </c>
      <c r="I38" s="37" t="s">
        <v>601</v>
      </c>
      <c r="J38" s="37" t="s">
        <v>466</v>
      </c>
      <c r="K38" s="37" t="s">
        <v>550</v>
      </c>
      <c r="L38" s="37">
        <v>1</v>
      </c>
      <c r="M38" s="37">
        <f>L38*5</f>
        <v>5</v>
      </c>
      <c r="N38" s="37">
        <v>10</v>
      </c>
      <c r="O38" s="63" t="s">
        <v>600</v>
      </c>
      <c r="P38" s="38" t="s">
        <v>601</v>
      </c>
      <c r="Q38" s="38" t="s">
        <v>601</v>
      </c>
      <c r="R38" s="65" t="s">
        <v>619</v>
      </c>
      <c r="S38" s="59"/>
    </row>
    <row r="39" spans="1:19" ht="24" x14ac:dyDescent="0.25">
      <c r="A39" s="1"/>
      <c r="B39" s="47">
        <f t="shared" si="0"/>
        <v>30</v>
      </c>
      <c r="C39" s="54" t="s">
        <v>10</v>
      </c>
      <c r="D39" s="51" t="s">
        <v>65</v>
      </c>
      <c r="E39" s="51" t="s">
        <v>171</v>
      </c>
      <c r="F39" s="51" t="s">
        <v>260</v>
      </c>
      <c r="G39" s="51" t="s">
        <v>332</v>
      </c>
      <c r="H39" s="51" t="s">
        <v>405</v>
      </c>
      <c r="I39" s="51" t="s">
        <v>601</v>
      </c>
      <c r="J39" s="51" t="s">
        <v>466</v>
      </c>
      <c r="K39" s="51" t="s">
        <v>601</v>
      </c>
      <c r="L39" s="51">
        <v>2</v>
      </c>
      <c r="M39" s="51">
        <f t="shared" ref="M39" si="29">L39*5</f>
        <v>10</v>
      </c>
      <c r="N39" s="51">
        <v>20</v>
      </c>
      <c r="O39" s="63" t="s">
        <v>600</v>
      </c>
      <c r="P39" s="52">
        <v>6.1800000000000001E-2</v>
      </c>
      <c r="Q39" s="52">
        <f t="shared" ref="Q39" si="30">P39*N39</f>
        <v>1.236</v>
      </c>
      <c r="R39" s="51"/>
      <c r="S39" s="59"/>
    </row>
    <row r="40" spans="1:19" ht="36" x14ac:dyDescent="0.25">
      <c r="A40" s="1"/>
      <c r="B40" s="46">
        <f>ROW(B40) - ROW($B$9)</f>
        <v>31</v>
      </c>
      <c r="C40" s="53" t="s">
        <v>10</v>
      </c>
      <c r="D40" s="37" t="s">
        <v>66</v>
      </c>
      <c r="E40" s="37" t="s">
        <v>172</v>
      </c>
      <c r="F40" s="37" t="s">
        <v>261</v>
      </c>
      <c r="G40" s="37" t="s">
        <v>333</v>
      </c>
      <c r="H40" s="37" t="s">
        <v>406</v>
      </c>
      <c r="I40" s="37" t="s">
        <v>601</v>
      </c>
      <c r="J40" s="37" t="s">
        <v>467</v>
      </c>
      <c r="K40" s="37" t="s">
        <v>601</v>
      </c>
      <c r="L40" s="37">
        <v>1</v>
      </c>
      <c r="M40" s="37">
        <f>L40*5</f>
        <v>5</v>
      </c>
      <c r="N40" s="37">
        <v>20</v>
      </c>
      <c r="O40" s="63" t="s">
        <v>600</v>
      </c>
      <c r="P40" s="38">
        <v>2.35E-2</v>
      </c>
      <c r="Q40" s="38">
        <f>P40*N40</f>
        <v>0.47</v>
      </c>
      <c r="R40" s="37"/>
      <c r="S40" s="59"/>
    </row>
    <row r="41" spans="1:19" ht="24" x14ac:dyDescent="0.25">
      <c r="A41" s="1"/>
      <c r="B41" s="47">
        <f t="shared" si="0"/>
        <v>32</v>
      </c>
      <c r="C41" s="54" t="s">
        <v>10</v>
      </c>
      <c r="D41" s="51" t="s">
        <v>67</v>
      </c>
      <c r="E41" s="51" t="s">
        <v>173</v>
      </c>
      <c r="F41" s="51" t="s">
        <v>262</v>
      </c>
      <c r="G41" s="51" t="s">
        <v>334</v>
      </c>
      <c r="H41" s="51" t="s">
        <v>407</v>
      </c>
      <c r="I41" s="51" t="s">
        <v>601</v>
      </c>
      <c r="J41" s="51" t="s">
        <v>468</v>
      </c>
      <c r="K41" s="51" t="s">
        <v>601</v>
      </c>
      <c r="L41" s="51">
        <v>1</v>
      </c>
      <c r="M41" s="51">
        <f t="shared" ref="M41" si="31">L41*5</f>
        <v>5</v>
      </c>
      <c r="N41" s="51">
        <v>10</v>
      </c>
      <c r="O41" s="63" t="s">
        <v>600</v>
      </c>
      <c r="P41" s="52">
        <v>8.6400000000000005E-2</v>
      </c>
      <c r="Q41" s="52">
        <f t="shared" ref="Q41" si="32">P41*N41</f>
        <v>0.8640000000000001</v>
      </c>
      <c r="R41" s="51"/>
      <c r="S41" s="59"/>
    </row>
    <row r="42" spans="1:19" ht="24" x14ac:dyDescent="0.25">
      <c r="A42" s="1"/>
      <c r="B42" s="46">
        <f>ROW(B42) - ROW($B$9)</f>
        <v>33</v>
      </c>
      <c r="C42" s="53" t="s">
        <v>10</v>
      </c>
      <c r="D42" s="37" t="s">
        <v>68</v>
      </c>
      <c r="E42" s="37" t="s">
        <v>174</v>
      </c>
      <c r="F42" s="37" t="s">
        <v>261</v>
      </c>
      <c r="G42" s="37" t="s">
        <v>335</v>
      </c>
      <c r="H42" s="37" t="s">
        <v>408</v>
      </c>
      <c r="I42" s="37" t="s">
        <v>601</v>
      </c>
      <c r="J42" s="37" t="s">
        <v>469</v>
      </c>
      <c r="K42" s="37" t="s">
        <v>601</v>
      </c>
      <c r="L42" s="37">
        <v>1</v>
      </c>
      <c r="M42" s="37">
        <f>L42*5</f>
        <v>5</v>
      </c>
      <c r="N42" s="37">
        <v>10</v>
      </c>
      <c r="O42" s="63" t="s">
        <v>600</v>
      </c>
      <c r="P42" s="38">
        <v>4.6899999999999997E-2</v>
      </c>
      <c r="Q42" s="38">
        <f>P42*N42</f>
        <v>0.46899999999999997</v>
      </c>
      <c r="R42" s="37"/>
      <c r="S42" s="59"/>
    </row>
    <row r="43" spans="1:19" x14ac:dyDescent="0.25">
      <c r="A43" s="1"/>
      <c r="B43" s="47">
        <f t="shared" si="0"/>
        <v>34</v>
      </c>
      <c r="C43" s="54" t="s">
        <v>10</v>
      </c>
      <c r="D43" s="51" t="s">
        <v>69</v>
      </c>
      <c r="E43" s="51" t="s">
        <v>175</v>
      </c>
      <c r="F43" s="51" t="s">
        <v>263</v>
      </c>
      <c r="G43" s="51" t="s">
        <v>336</v>
      </c>
      <c r="H43" s="51" t="s">
        <v>406</v>
      </c>
      <c r="I43" s="51" t="s">
        <v>601</v>
      </c>
      <c r="J43" s="51" t="s">
        <v>470</v>
      </c>
      <c r="K43" s="51" t="s">
        <v>601</v>
      </c>
      <c r="L43" s="51">
        <v>1</v>
      </c>
      <c r="M43" s="51">
        <f t="shared" ref="M43" si="33">L43*5</f>
        <v>5</v>
      </c>
      <c r="N43" s="51">
        <v>10</v>
      </c>
      <c r="O43" s="63" t="s">
        <v>600</v>
      </c>
      <c r="P43" s="52">
        <v>4.5600000000000002E-2</v>
      </c>
      <c r="Q43" s="52">
        <f t="shared" ref="Q43" si="34">P43*N43</f>
        <v>0.45600000000000002</v>
      </c>
      <c r="R43" s="51"/>
      <c r="S43" s="59"/>
    </row>
    <row r="44" spans="1:19" ht="24" x14ac:dyDescent="0.25">
      <c r="A44" s="1"/>
      <c r="B44" s="46">
        <f>ROW(B44) - ROW($B$9)</f>
        <v>35</v>
      </c>
      <c r="C44" s="53" t="s">
        <v>11</v>
      </c>
      <c r="D44" s="37" t="s">
        <v>621</v>
      </c>
      <c r="E44" s="37" t="s">
        <v>176</v>
      </c>
      <c r="F44" s="37" t="s">
        <v>264</v>
      </c>
      <c r="G44" s="37" t="s">
        <v>337</v>
      </c>
      <c r="H44" s="37" t="s">
        <v>409</v>
      </c>
      <c r="I44" s="37" t="s">
        <v>601</v>
      </c>
      <c r="J44" s="37" t="s">
        <v>471</v>
      </c>
      <c r="K44" s="37" t="s">
        <v>601</v>
      </c>
      <c r="L44" s="37">
        <v>2</v>
      </c>
      <c r="M44" s="37">
        <f>L44*5</f>
        <v>10</v>
      </c>
      <c r="N44" s="37">
        <v>15</v>
      </c>
      <c r="O44" s="63" t="s">
        <v>600</v>
      </c>
      <c r="P44" s="38">
        <v>9.2999999999999999E-2</v>
      </c>
      <c r="Q44" s="38">
        <f>P44*N44</f>
        <v>1.395</v>
      </c>
      <c r="R44" s="37"/>
      <c r="S44" s="59"/>
    </row>
    <row r="45" spans="1:19" x14ac:dyDescent="0.25">
      <c r="A45" s="1"/>
      <c r="B45" s="46">
        <f>ROW(B45) - ROW($B$9)</f>
        <v>36</v>
      </c>
      <c r="C45" s="53" t="s">
        <v>12</v>
      </c>
      <c r="D45" s="37" t="s">
        <v>70</v>
      </c>
      <c r="E45" s="37" t="s">
        <v>177</v>
      </c>
      <c r="F45" s="37" t="s">
        <v>265</v>
      </c>
      <c r="G45" s="37" t="s">
        <v>338</v>
      </c>
      <c r="H45" s="37" t="s">
        <v>410</v>
      </c>
      <c r="I45" s="37" t="s">
        <v>601</v>
      </c>
      <c r="J45" s="37" t="s">
        <v>472</v>
      </c>
      <c r="K45" s="51" t="s">
        <v>601</v>
      </c>
      <c r="L45" s="37">
        <v>5</v>
      </c>
      <c r="M45" s="37">
        <f>L45*5</f>
        <v>25</v>
      </c>
      <c r="N45" s="37">
        <v>100</v>
      </c>
      <c r="O45" s="63" t="s">
        <v>600</v>
      </c>
      <c r="P45" s="38">
        <v>5.5999999999999999E-3</v>
      </c>
      <c r="Q45" s="38">
        <f>P45*N45</f>
        <v>0.55999999999999994</v>
      </c>
      <c r="R45" s="37"/>
      <c r="S45" s="59"/>
    </row>
    <row r="46" spans="1:19" x14ac:dyDescent="0.25">
      <c r="A46" s="1"/>
      <c r="B46" s="47">
        <f t="shared" si="0"/>
        <v>37</v>
      </c>
      <c r="C46" s="54" t="s">
        <v>12</v>
      </c>
      <c r="D46" s="51" t="s">
        <v>71</v>
      </c>
      <c r="E46" s="51" t="s">
        <v>178</v>
      </c>
      <c r="F46" s="51" t="s">
        <v>266</v>
      </c>
      <c r="G46" s="51" t="s">
        <v>339</v>
      </c>
      <c r="H46" s="51" t="s">
        <v>410</v>
      </c>
      <c r="I46" s="51" t="s">
        <v>601</v>
      </c>
      <c r="J46" s="51" t="s">
        <v>473</v>
      </c>
      <c r="K46" s="37" t="s">
        <v>601</v>
      </c>
      <c r="L46" s="51">
        <v>3</v>
      </c>
      <c r="M46" s="51">
        <f t="shared" ref="M46" si="35">L46*5</f>
        <v>15</v>
      </c>
      <c r="N46" s="51">
        <v>20</v>
      </c>
      <c r="O46" s="63" t="s">
        <v>600</v>
      </c>
      <c r="P46" s="52">
        <v>3.0599999999999999E-2</v>
      </c>
      <c r="Q46" s="52">
        <f t="shared" ref="Q46" si="36">P46*N46</f>
        <v>0.61199999999999999</v>
      </c>
      <c r="R46" s="51"/>
      <c r="S46" s="59"/>
    </row>
    <row r="47" spans="1:19" ht="24" x14ac:dyDescent="0.25">
      <c r="A47" s="1"/>
      <c r="B47" s="46">
        <f>ROW(B47) - ROW($B$9)</f>
        <v>38</v>
      </c>
      <c r="C47" s="53" t="s">
        <v>12</v>
      </c>
      <c r="D47" s="37" t="s">
        <v>72</v>
      </c>
      <c r="E47" s="37" t="s">
        <v>179</v>
      </c>
      <c r="F47" s="37" t="s">
        <v>267</v>
      </c>
      <c r="G47" s="37" t="s">
        <v>340</v>
      </c>
      <c r="H47" s="37" t="s">
        <v>403</v>
      </c>
      <c r="I47" s="37" t="s">
        <v>601</v>
      </c>
      <c r="J47" s="37" t="s">
        <v>474</v>
      </c>
      <c r="K47" s="37"/>
      <c r="L47" s="37">
        <v>2</v>
      </c>
      <c r="M47" s="37">
        <f>L47*5</f>
        <v>10</v>
      </c>
      <c r="N47" s="37">
        <v>50</v>
      </c>
      <c r="O47" s="63" t="s">
        <v>600</v>
      </c>
      <c r="P47" s="38">
        <v>7.7000000000000002E-3</v>
      </c>
      <c r="Q47" s="38">
        <f>P47*N47</f>
        <v>0.38500000000000001</v>
      </c>
      <c r="R47" s="37"/>
      <c r="S47" s="59"/>
    </row>
    <row r="48" spans="1:19" ht="24" x14ac:dyDescent="0.25">
      <c r="A48" s="1"/>
      <c r="B48" s="47">
        <f t="shared" si="0"/>
        <v>39</v>
      </c>
      <c r="C48" s="54" t="s">
        <v>13</v>
      </c>
      <c r="D48" s="51" t="s">
        <v>73</v>
      </c>
      <c r="E48" s="51" t="s">
        <v>180</v>
      </c>
      <c r="F48" s="51" t="s">
        <v>595</v>
      </c>
      <c r="G48" s="51" t="s">
        <v>341</v>
      </c>
      <c r="H48" s="51" t="s">
        <v>411</v>
      </c>
      <c r="I48" s="51" t="s">
        <v>601</v>
      </c>
      <c r="J48" s="51" t="s">
        <v>475</v>
      </c>
      <c r="K48" s="51"/>
      <c r="L48" s="51">
        <v>1</v>
      </c>
      <c r="M48" s="51">
        <f t="shared" ref="M48" si="37">L48*5</f>
        <v>5</v>
      </c>
      <c r="N48" s="51">
        <v>10</v>
      </c>
      <c r="O48" s="63" t="s">
        <v>600</v>
      </c>
      <c r="P48" s="52">
        <v>0.21590000000000001</v>
      </c>
      <c r="Q48" s="52">
        <f t="shared" ref="Q48" si="38">P48*N48</f>
        <v>2.1590000000000003</v>
      </c>
      <c r="R48" s="51"/>
      <c r="S48" s="59"/>
    </row>
    <row r="49" spans="1:19" ht="36" x14ac:dyDescent="0.25">
      <c r="A49" s="1"/>
      <c r="B49" s="46">
        <f>ROW(B49) - ROW($B$9)</f>
        <v>40</v>
      </c>
      <c r="C49" s="53" t="s">
        <v>23</v>
      </c>
      <c r="D49" s="37" t="s">
        <v>611</v>
      </c>
      <c r="E49" s="37" t="s">
        <v>189</v>
      </c>
      <c r="F49" s="37" t="s">
        <v>275</v>
      </c>
      <c r="G49" s="37" t="s">
        <v>275</v>
      </c>
      <c r="H49" s="37" t="s">
        <v>418</v>
      </c>
      <c r="I49" s="37" t="s">
        <v>601</v>
      </c>
      <c r="J49" s="37" t="s">
        <v>478</v>
      </c>
      <c r="K49" s="37"/>
      <c r="L49" s="37">
        <v>1</v>
      </c>
      <c r="M49" s="37">
        <f>L49*5</f>
        <v>5</v>
      </c>
      <c r="N49" s="37">
        <v>10</v>
      </c>
      <c r="O49" s="63" t="s">
        <v>600</v>
      </c>
      <c r="P49" s="38">
        <v>4.6600000000000003E-2</v>
      </c>
      <c r="Q49" s="38">
        <f>P49*N49</f>
        <v>0.46600000000000003</v>
      </c>
      <c r="R49" s="37"/>
      <c r="S49" s="59"/>
    </row>
    <row r="50" spans="1:19" ht="25.5" x14ac:dyDescent="0.25">
      <c r="A50" s="1"/>
      <c r="B50" s="46">
        <f>ROW(B50) - ROW($B$9)</f>
        <v>41</v>
      </c>
      <c r="C50" s="53" t="s">
        <v>14</v>
      </c>
      <c r="D50" s="37" t="s">
        <v>74</v>
      </c>
      <c r="E50" s="37" t="s">
        <v>181</v>
      </c>
      <c r="F50" s="51" t="s">
        <v>595</v>
      </c>
      <c r="G50" s="37" t="s">
        <v>268</v>
      </c>
      <c r="H50" s="37" t="s">
        <v>412</v>
      </c>
      <c r="I50" s="37" t="s">
        <v>601</v>
      </c>
      <c r="J50" s="37" t="s">
        <v>476</v>
      </c>
      <c r="K50" s="37"/>
      <c r="L50" s="37">
        <v>1</v>
      </c>
      <c r="M50" s="37">
        <f>L50*5</f>
        <v>5</v>
      </c>
      <c r="N50" s="37">
        <v>10</v>
      </c>
      <c r="O50" s="63" t="s">
        <v>600</v>
      </c>
      <c r="P50" s="38">
        <v>0.2331</v>
      </c>
      <c r="Q50" s="38">
        <f>P50*N50</f>
        <v>2.331</v>
      </c>
      <c r="R50" s="37"/>
      <c r="S50" s="59"/>
    </row>
    <row r="51" spans="1:19" ht="36" x14ac:dyDescent="0.25">
      <c r="A51" s="1"/>
      <c r="B51" s="47">
        <f t="shared" si="0"/>
        <v>42</v>
      </c>
      <c r="C51" s="54" t="s">
        <v>15</v>
      </c>
      <c r="D51" s="66" t="s">
        <v>75</v>
      </c>
      <c r="E51" s="51" t="s">
        <v>655</v>
      </c>
      <c r="F51" s="51" t="s">
        <v>595</v>
      </c>
      <c r="G51" s="51" t="s">
        <v>652</v>
      </c>
      <c r="H51" s="51" t="s">
        <v>413</v>
      </c>
      <c r="I51" s="51"/>
      <c r="J51" s="51" t="s">
        <v>656</v>
      </c>
      <c r="K51" s="51" t="s">
        <v>601</v>
      </c>
      <c r="L51" s="51">
        <v>1</v>
      </c>
      <c r="M51" s="51">
        <f t="shared" ref="M51" si="39">L51*5</f>
        <v>5</v>
      </c>
      <c r="N51" s="51">
        <v>10</v>
      </c>
      <c r="O51" s="63" t="s">
        <v>600</v>
      </c>
      <c r="P51" s="52">
        <v>8.6599999999999996E-2</v>
      </c>
      <c r="Q51" s="52">
        <f t="shared" ref="Q51" si="40">P51*N51</f>
        <v>0.86599999999999999</v>
      </c>
      <c r="R51" s="51"/>
      <c r="S51" s="59"/>
    </row>
    <row r="52" spans="1:19" ht="25.5" x14ac:dyDescent="0.25">
      <c r="A52" s="1"/>
      <c r="B52" s="46">
        <f>ROW(B52) - ROW($B$9)</f>
        <v>43</v>
      </c>
      <c r="C52" s="53" t="s">
        <v>16</v>
      </c>
      <c r="D52" s="37" t="s">
        <v>76</v>
      </c>
      <c r="E52" s="37" t="s">
        <v>182</v>
      </c>
      <c r="F52" s="51" t="s">
        <v>595</v>
      </c>
      <c r="G52" s="37" t="s">
        <v>269</v>
      </c>
      <c r="H52" s="37" t="s">
        <v>412</v>
      </c>
      <c r="I52" s="37" t="s">
        <v>601</v>
      </c>
      <c r="J52" s="37"/>
      <c r="K52" s="37"/>
      <c r="L52" s="37">
        <v>1</v>
      </c>
      <c r="M52" s="37">
        <f>L52*5</f>
        <v>5</v>
      </c>
      <c r="N52" s="37">
        <v>10</v>
      </c>
      <c r="O52" s="63" t="s">
        <v>600</v>
      </c>
      <c r="P52" s="38">
        <v>0.2094</v>
      </c>
      <c r="Q52" s="38">
        <f>P52*N52</f>
        <v>2.0939999999999999</v>
      </c>
      <c r="R52" s="37"/>
      <c r="S52" s="59"/>
    </row>
    <row r="53" spans="1:19" ht="25.5" x14ac:dyDescent="0.25">
      <c r="A53" s="1"/>
      <c r="B53" s="47">
        <f t="shared" si="0"/>
        <v>44</v>
      </c>
      <c r="C53" s="54" t="s">
        <v>17</v>
      </c>
      <c r="D53" s="51" t="s">
        <v>77</v>
      </c>
      <c r="E53" s="51" t="s">
        <v>183</v>
      </c>
      <c r="F53" s="51" t="s">
        <v>595</v>
      </c>
      <c r="G53" s="51" t="s">
        <v>270</v>
      </c>
      <c r="H53" s="51" t="s">
        <v>414</v>
      </c>
      <c r="I53" s="51" t="s">
        <v>601</v>
      </c>
      <c r="J53" s="51" t="s">
        <v>477</v>
      </c>
      <c r="K53" s="51"/>
      <c r="L53" s="51">
        <v>1</v>
      </c>
      <c r="M53" s="51">
        <f t="shared" ref="M53" si="41">L53*5</f>
        <v>5</v>
      </c>
      <c r="N53" s="51">
        <v>10</v>
      </c>
      <c r="O53" s="63" t="s">
        <v>600</v>
      </c>
      <c r="P53" s="52">
        <v>0.25140000000000001</v>
      </c>
      <c r="Q53" s="52">
        <f t="shared" ref="Q53" si="42">P53*N53</f>
        <v>2.5140000000000002</v>
      </c>
      <c r="R53" s="51"/>
      <c r="S53" s="59"/>
    </row>
    <row r="54" spans="1:19" ht="48" x14ac:dyDescent="0.25">
      <c r="A54" s="1"/>
      <c r="B54" s="46">
        <f>ROW(B54) - ROW($B$9)</f>
        <v>45</v>
      </c>
      <c r="C54" s="53" t="s">
        <v>18</v>
      </c>
      <c r="D54" s="37" t="s">
        <v>78</v>
      </c>
      <c r="E54" s="37" t="s">
        <v>184</v>
      </c>
      <c r="F54" s="37" t="s">
        <v>271</v>
      </c>
      <c r="G54" s="37" t="s">
        <v>342</v>
      </c>
      <c r="H54" s="37" t="s">
        <v>415</v>
      </c>
      <c r="I54" s="37" t="s">
        <v>601</v>
      </c>
      <c r="J54" s="37" t="s">
        <v>342</v>
      </c>
      <c r="K54" s="37"/>
      <c r="L54" s="37">
        <v>1</v>
      </c>
      <c r="M54" s="37">
        <f>L54*5</f>
        <v>5</v>
      </c>
      <c r="N54" s="37">
        <v>10</v>
      </c>
      <c r="O54" s="63" t="s">
        <v>600</v>
      </c>
      <c r="P54" s="38">
        <v>4.2200000000000001E-2</v>
      </c>
      <c r="Q54" s="38">
        <f>P54*N54</f>
        <v>0.42200000000000004</v>
      </c>
      <c r="R54" s="37"/>
      <c r="S54" s="59"/>
    </row>
    <row r="55" spans="1:19" x14ac:dyDescent="0.25">
      <c r="A55" s="1"/>
      <c r="B55" s="47">
        <f t="shared" si="0"/>
        <v>46</v>
      </c>
      <c r="C55" s="54" t="s">
        <v>19</v>
      </c>
      <c r="D55" s="51" t="s">
        <v>79</v>
      </c>
      <c r="E55" s="51" t="s">
        <v>185</v>
      </c>
      <c r="F55" s="51" t="s">
        <v>272</v>
      </c>
      <c r="G55" s="68">
        <v>61300311121</v>
      </c>
      <c r="H55" s="51" t="s">
        <v>416</v>
      </c>
      <c r="I55" s="51" t="s">
        <v>628</v>
      </c>
      <c r="J55" s="51" t="s">
        <v>629</v>
      </c>
      <c r="K55" s="51"/>
      <c r="L55" s="51">
        <v>3</v>
      </c>
      <c r="M55" s="51">
        <f t="shared" ref="M55" si="43">L55*5</f>
        <v>15</v>
      </c>
      <c r="N55" s="51">
        <v>50</v>
      </c>
      <c r="O55" s="63" t="s">
        <v>600</v>
      </c>
      <c r="P55" s="52">
        <v>1.46E-2</v>
      </c>
      <c r="Q55" s="52">
        <f t="shared" ref="Q55" si="44">P55*N55</f>
        <v>0.73</v>
      </c>
      <c r="R55" s="51"/>
      <c r="S55" s="59"/>
    </row>
    <row r="56" spans="1:19" x14ac:dyDescent="0.25">
      <c r="A56" s="1"/>
      <c r="B56" s="46">
        <f>ROW(B56) - ROW($B$9)</f>
        <v>47</v>
      </c>
      <c r="C56" s="53" t="s">
        <v>20</v>
      </c>
      <c r="D56" s="37" t="s">
        <v>80</v>
      </c>
      <c r="E56" s="37" t="s">
        <v>186</v>
      </c>
      <c r="F56" s="37" t="s">
        <v>273</v>
      </c>
      <c r="G56" s="37" t="s">
        <v>343</v>
      </c>
      <c r="H56" s="68" t="s">
        <v>601</v>
      </c>
      <c r="I56" s="68" t="s">
        <v>601</v>
      </c>
      <c r="J56" s="68" t="s">
        <v>601</v>
      </c>
      <c r="K56" s="68" t="s">
        <v>601</v>
      </c>
      <c r="L56" s="37">
        <v>1</v>
      </c>
      <c r="M56" s="37">
        <f>L56*5</f>
        <v>5</v>
      </c>
      <c r="N56" s="37"/>
      <c r="O56" s="68" t="s">
        <v>601</v>
      </c>
      <c r="P56" s="68" t="s">
        <v>601</v>
      </c>
      <c r="Q56" s="68" t="s">
        <v>601</v>
      </c>
      <c r="R56" s="68"/>
      <c r="S56" s="59"/>
    </row>
    <row r="57" spans="1:19" ht="24" x14ac:dyDescent="0.25">
      <c r="A57" s="1"/>
      <c r="B57" s="47">
        <f t="shared" si="0"/>
        <v>48</v>
      </c>
      <c r="C57" s="54" t="s">
        <v>21</v>
      </c>
      <c r="D57" s="51" t="s">
        <v>81</v>
      </c>
      <c r="E57" s="51" t="s">
        <v>187</v>
      </c>
      <c r="F57" s="51" t="s">
        <v>595</v>
      </c>
      <c r="G57" s="51" t="s">
        <v>344</v>
      </c>
      <c r="H57" s="51" t="s">
        <v>415</v>
      </c>
      <c r="I57" s="51" t="s">
        <v>601</v>
      </c>
      <c r="J57" s="51" t="s">
        <v>344</v>
      </c>
      <c r="K57" s="51"/>
      <c r="L57" s="51">
        <v>1</v>
      </c>
      <c r="M57" s="51">
        <f t="shared" ref="M57" si="45">L57*5</f>
        <v>5</v>
      </c>
      <c r="N57" s="51">
        <v>12</v>
      </c>
      <c r="O57" s="63" t="s">
        <v>600</v>
      </c>
      <c r="P57" s="52">
        <v>7.0400000000000004E-2</v>
      </c>
      <c r="Q57" s="52">
        <f t="shared" ref="Q57" si="46">P57*N57</f>
        <v>0.8448</v>
      </c>
      <c r="R57" s="51"/>
      <c r="S57" s="59"/>
    </row>
    <row r="58" spans="1:19" ht="36" x14ac:dyDescent="0.25">
      <c r="A58" s="1"/>
      <c r="B58" s="46">
        <f>ROW(B58) - ROW($B$9)</f>
        <v>49</v>
      </c>
      <c r="C58" s="53" t="s">
        <v>22</v>
      </c>
      <c r="D58" s="37" t="s">
        <v>82</v>
      </c>
      <c r="E58" s="37" t="s">
        <v>188</v>
      </c>
      <c r="F58" s="51" t="s">
        <v>595</v>
      </c>
      <c r="G58" s="37" t="s">
        <v>274</v>
      </c>
      <c r="H58" s="37" t="s">
        <v>417</v>
      </c>
      <c r="I58" s="51" t="s">
        <v>601</v>
      </c>
      <c r="J58" s="37" t="s">
        <v>601</v>
      </c>
      <c r="K58" s="37" t="s">
        <v>601</v>
      </c>
      <c r="L58" s="37">
        <v>1</v>
      </c>
      <c r="M58" s="37">
        <f>L58*5</f>
        <v>5</v>
      </c>
      <c r="N58" s="37">
        <v>6</v>
      </c>
      <c r="O58" s="63" t="s">
        <v>635</v>
      </c>
      <c r="P58" s="38">
        <v>2.7</v>
      </c>
      <c r="Q58" s="38">
        <f>P58*N58</f>
        <v>16.200000000000003</v>
      </c>
      <c r="R58" s="37"/>
      <c r="S58" s="59"/>
    </row>
    <row r="59" spans="1:19" x14ac:dyDescent="0.25">
      <c r="A59" s="1"/>
      <c r="B59" s="46">
        <f>ROW(B59) - ROW($B$9)</f>
        <v>50</v>
      </c>
      <c r="C59" s="53" t="s">
        <v>24</v>
      </c>
      <c r="D59" s="37" t="s">
        <v>83</v>
      </c>
      <c r="E59" s="37" t="s">
        <v>190</v>
      </c>
      <c r="F59" s="37" t="s">
        <v>276</v>
      </c>
      <c r="G59" s="37" t="s">
        <v>345</v>
      </c>
      <c r="H59" s="37" t="s">
        <v>399</v>
      </c>
      <c r="I59" s="37" t="s">
        <v>601</v>
      </c>
      <c r="J59" s="37" t="s">
        <v>479</v>
      </c>
      <c r="K59" s="37" t="s">
        <v>551</v>
      </c>
      <c r="L59" s="37">
        <v>1</v>
      </c>
      <c r="M59" s="37">
        <f>L59*5</f>
        <v>5</v>
      </c>
      <c r="N59" s="37">
        <v>10</v>
      </c>
      <c r="O59" s="63" t="s">
        <v>600</v>
      </c>
      <c r="P59" s="38">
        <v>7.0300000000000001E-2</v>
      </c>
      <c r="Q59" s="38">
        <f>P59*N59</f>
        <v>0.70300000000000007</v>
      </c>
      <c r="R59" s="37"/>
      <c r="S59" s="59"/>
    </row>
    <row r="60" spans="1:19" ht="24" x14ac:dyDescent="0.25">
      <c r="A60" s="1"/>
      <c r="B60" s="47">
        <f t="shared" si="0"/>
        <v>51</v>
      </c>
      <c r="C60" s="54" t="s">
        <v>24</v>
      </c>
      <c r="D60" s="51" t="s">
        <v>84</v>
      </c>
      <c r="E60" s="51" t="s">
        <v>191</v>
      </c>
      <c r="F60" s="51" t="s">
        <v>595</v>
      </c>
      <c r="G60" s="51" t="s">
        <v>277</v>
      </c>
      <c r="H60" s="51" t="s">
        <v>419</v>
      </c>
      <c r="I60" s="51" t="s">
        <v>601</v>
      </c>
      <c r="J60" s="51" t="s">
        <v>480</v>
      </c>
      <c r="K60" s="51" t="s">
        <v>552</v>
      </c>
      <c r="L60" s="51">
        <v>1</v>
      </c>
      <c r="M60" s="51">
        <f t="shared" ref="M60" si="47">L60*5</f>
        <v>5</v>
      </c>
      <c r="N60" s="51">
        <v>10</v>
      </c>
      <c r="O60" s="63" t="s">
        <v>600</v>
      </c>
      <c r="P60" s="52">
        <v>0.20399999999999999</v>
      </c>
      <c r="Q60" s="52">
        <f t="shared" ref="Q60" si="48">P60*N60</f>
        <v>2.04</v>
      </c>
      <c r="R60" s="51"/>
      <c r="S60" s="59"/>
    </row>
    <row r="61" spans="1:19" ht="36" x14ac:dyDescent="0.25">
      <c r="A61" s="1"/>
      <c r="B61" s="46">
        <f>ROW(B61) - ROW($B$9)</f>
        <v>52</v>
      </c>
      <c r="C61" s="53" t="s">
        <v>24</v>
      </c>
      <c r="D61" s="37" t="s">
        <v>85</v>
      </c>
      <c r="E61" s="37" t="s">
        <v>192</v>
      </c>
      <c r="F61" s="37" t="s">
        <v>595</v>
      </c>
      <c r="G61" s="37" t="s">
        <v>278</v>
      </c>
      <c r="H61" s="37" t="s">
        <v>420</v>
      </c>
      <c r="I61" s="37" t="s">
        <v>601</v>
      </c>
      <c r="J61" s="37" t="s">
        <v>481</v>
      </c>
      <c r="K61" s="37" t="s">
        <v>553</v>
      </c>
      <c r="L61" s="37">
        <v>1</v>
      </c>
      <c r="M61" s="37">
        <f>L61*5</f>
        <v>5</v>
      </c>
      <c r="N61" s="37">
        <v>10</v>
      </c>
      <c r="O61" s="63" t="s">
        <v>600</v>
      </c>
      <c r="P61" s="38">
        <v>0.22939999999999999</v>
      </c>
      <c r="Q61" s="38">
        <f>P61*N61</f>
        <v>2.294</v>
      </c>
      <c r="R61" s="37"/>
      <c r="S61" s="59"/>
    </row>
    <row r="62" spans="1:19" ht="24" x14ac:dyDescent="0.25">
      <c r="A62" s="1"/>
      <c r="B62" s="47">
        <f t="shared" si="0"/>
        <v>53</v>
      </c>
      <c r="C62" s="54" t="s">
        <v>25</v>
      </c>
      <c r="D62" s="51" t="s">
        <v>86</v>
      </c>
      <c r="E62" s="51" t="s">
        <v>193</v>
      </c>
      <c r="F62" s="51" t="s">
        <v>279</v>
      </c>
      <c r="G62" s="51" t="s">
        <v>346</v>
      </c>
      <c r="H62" s="51" t="s">
        <v>421</v>
      </c>
      <c r="I62" s="51" t="s">
        <v>601</v>
      </c>
      <c r="J62" s="51" t="s">
        <v>482</v>
      </c>
      <c r="K62" s="51" t="s">
        <v>601</v>
      </c>
      <c r="L62" s="51">
        <v>1</v>
      </c>
      <c r="M62" s="51">
        <f t="shared" ref="M62" si="49">L62*5</f>
        <v>5</v>
      </c>
      <c r="N62" s="51">
        <v>20</v>
      </c>
      <c r="O62" s="63" t="s">
        <v>600</v>
      </c>
      <c r="P62" s="52">
        <v>2.4299999999999999E-2</v>
      </c>
      <c r="Q62" s="52">
        <f t="shared" ref="Q62" si="50">P62*N62</f>
        <v>0.48599999999999999</v>
      </c>
      <c r="R62" s="51"/>
      <c r="S62" s="59"/>
    </row>
    <row r="63" spans="1:19" ht="24" x14ac:dyDescent="0.25">
      <c r="A63" s="1"/>
      <c r="B63" s="46">
        <f>ROW(B63) - ROW($B$9)</f>
        <v>54</v>
      </c>
      <c r="C63" s="53" t="s">
        <v>25</v>
      </c>
      <c r="D63" s="37" t="s">
        <v>87</v>
      </c>
      <c r="E63" s="37" t="s">
        <v>194</v>
      </c>
      <c r="F63" s="37" t="s">
        <v>279</v>
      </c>
      <c r="G63" s="37" t="s">
        <v>347</v>
      </c>
      <c r="H63" s="37" t="s">
        <v>421</v>
      </c>
      <c r="I63" s="37" t="s">
        <v>601</v>
      </c>
      <c r="J63" s="37" t="s">
        <v>483</v>
      </c>
      <c r="K63" s="37" t="s">
        <v>601</v>
      </c>
      <c r="L63" s="37">
        <v>2</v>
      </c>
      <c r="M63" s="37">
        <f>L63*5</f>
        <v>10</v>
      </c>
      <c r="N63" s="37">
        <v>20</v>
      </c>
      <c r="O63" s="63" t="s">
        <v>600</v>
      </c>
      <c r="P63" s="38">
        <v>2.3E-2</v>
      </c>
      <c r="Q63" s="38">
        <f>P63*N63</f>
        <v>0.45999999999999996</v>
      </c>
      <c r="R63" s="37"/>
      <c r="S63" s="59"/>
    </row>
    <row r="64" spans="1:19" x14ac:dyDescent="0.25">
      <c r="A64" s="1"/>
      <c r="B64" s="47">
        <f t="shared" si="0"/>
        <v>55</v>
      </c>
      <c r="C64" s="54" t="s">
        <v>25</v>
      </c>
      <c r="D64" s="51" t="s">
        <v>88</v>
      </c>
      <c r="E64" s="51" t="s">
        <v>195</v>
      </c>
      <c r="F64" s="51" t="s">
        <v>280</v>
      </c>
      <c r="G64" s="68" t="s">
        <v>348</v>
      </c>
      <c r="H64" s="51" t="s">
        <v>422</v>
      </c>
      <c r="I64" s="37" t="s">
        <v>671</v>
      </c>
      <c r="J64" s="51" t="s">
        <v>672</v>
      </c>
      <c r="K64" s="51" t="s">
        <v>601</v>
      </c>
      <c r="L64" s="51">
        <v>1</v>
      </c>
      <c r="M64" s="51">
        <f t="shared" ref="M64" si="51">L64*5</f>
        <v>5</v>
      </c>
      <c r="N64" s="51">
        <v>50</v>
      </c>
      <c r="O64" s="63" t="s">
        <v>600</v>
      </c>
      <c r="P64" s="52">
        <v>1.54E-2</v>
      </c>
      <c r="Q64" s="52">
        <f t="shared" ref="Q64" si="52">P64*N64</f>
        <v>0.77</v>
      </c>
      <c r="R64" s="51"/>
      <c r="S64" s="59"/>
    </row>
    <row r="65" spans="1:19" ht="36" x14ac:dyDescent="0.25">
      <c r="A65" s="1"/>
      <c r="B65" s="46">
        <f>ROW(B65) - ROW($B$9)</f>
        <v>56</v>
      </c>
      <c r="C65" s="54" t="s">
        <v>288</v>
      </c>
      <c r="D65" s="70" t="s">
        <v>622</v>
      </c>
      <c r="E65" s="68" t="s">
        <v>231</v>
      </c>
      <c r="F65" s="68" t="s">
        <v>595</v>
      </c>
      <c r="G65" s="68" t="s">
        <v>288</v>
      </c>
      <c r="H65" s="68" t="s">
        <v>601</v>
      </c>
      <c r="I65" s="37" t="s">
        <v>601</v>
      </c>
      <c r="J65" s="68" t="s">
        <v>601</v>
      </c>
      <c r="K65" s="68" t="s">
        <v>601</v>
      </c>
      <c r="L65" s="68">
        <v>19</v>
      </c>
      <c r="M65" s="68">
        <f>L65*5</f>
        <v>95</v>
      </c>
      <c r="N65" s="68" t="s">
        <v>601</v>
      </c>
      <c r="O65" s="68" t="s">
        <v>601</v>
      </c>
      <c r="P65" s="68" t="s">
        <v>601</v>
      </c>
      <c r="Q65" s="68" t="s">
        <v>601</v>
      </c>
      <c r="R65" s="37"/>
      <c r="S65" s="59"/>
    </row>
    <row r="66" spans="1:19" x14ac:dyDescent="0.25">
      <c r="A66" s="1"/>
      <c r="B66" s="47">
        <f t="shared" si="0"/>
        <v>57</v>
      </c>
      <c r="C66" s="54" t="s">
        <v>26</v>
      </c>
      <c r="D66" s="51" t="s">
        <v>89</v>
      </c>
      <c r="E66" s="51" t="s">
        <v>196</v>
      </c>
      <c r="F66" s="51" t="s">
        <v>281</v>
      </c>
      <c r="G66" s="51" t="s">
        <v>349</v>
      </c>
      <c r="H66" s="51" t="s">
        <v>423</v>
      </c>
      <c r="I66" s="51" t="s">
        <v>601</v>
      </c>
      <c r="J66" s="51" t="s">
        <v>484</v>
      </c>
      <c r="K66" s="51" t="s">
        <v>550</v>
      </c>
      <c r="L66" s="51">
        <v>1</v>
      </c>
      <c r="M66" s="51">
        <f t="shared" ref="M66" si="53">L66*5</f>
        <v>5</v>
      </c>
      <c r="N66" s="37">
        <v>10</v>
      </c>
      <c r="O66" s="63" t="s">
        <v>600</v>
      </c>
      <c r="P66" s="52" t="s">
        <v>601</v>
      </c>
      <c r="Q66" s="52" t="s">
        <v>601</v>
      </c>
      <c r="R66" s="51"/>
      <c r="S66" s="59"/>
    </row>
    <row r="67" spans="1:19" x14ac:dyDescent="0.25">
      <c r="A67" s="1"/>
      <c r="B67" s="46">
        <f>ROW(B67) - ROW($B$9)</f>
        <v>58</v>
      </c>
      <c r="C67" s="53" t="s">
        <v>26</v>
      </c>
      <c r="D67" s="37" t="s">
        <v>90</v>
      </c>
      <c r="E67" s="37" t="s">
        <v>196</v>
      </c>
      <c r="F67" s="37" t="s">
        <v>281</v>
      </c>
      <c r="G67" s="37" t="s">
        <v>349</v>
      </c>
      <c r="H67" s="37" t="s">
        <v>423</v>
      </c>
      <c r="I67" s="37" t="s">
        <v>601</v>
      </c>
      <c r="J67" s="37" t="s">
        <v>484</v>
      </c>
      <c r="K67" s="37" t="s">
        <v>601</v>
      </c>
      <c r="L67" s="37">
        <v>1</v>
      </c>
      <c r="M67" s="37">
        <f>L67*5</f>
        <v>5</v>
      </c>
      <c r="N67" s="37">
        <v>10</v>
      </c>
      <c r="O67" s="63" t="s">
        <v>600</v>
      </c>
      <c r="P67" s="38">
        <v>0.1</v>
      </c>
      <c r="Q67" s="38">
        <f>P67*N67</f>
        <v>1</v>
      </c>
      <c r="R67" s="37"/>
      <c r="S67" s="59"/>
    </row>
    <row r="68" spans="1:19" ht="48" x14ac:dyDescent="0.25">
      <c r="A68" s="1"/>
      <c r="B68" s="47">
        <f t="shared" si="0"/>
        <v>59</v>
      </c>
      <c r="C68" s="54" t="s">
        <v>26</v>
      </c>
      <c r="D68" s="51" t="s">
        <v>91</v>
      </c>
      <c r="E68" s="51" t="s">
        <v>197</v>
      </c>
      <c r="F68" s="51" t="s">
        <v>282</v>
      </c>
      <c r="G68" s="51" t="s">
        <v>350</v>
      </c>
      <c r="H68" s="51" t="s">
        <v>423</v>
      </c>
      <c r="I68" s="37" t="s">
        <v>601</v>
      </c>
      <c r="J68" s="51" t="s">
        <v>485</v>
      </c>
      <c r="K68" s="51" t="s">
        <v>601</v>
      </c>
      <c r="L68" s="51">
        <v>1</v>
      </c>
      <c r="M68" s="51">
        <f t="shared" ref="M68" si="54">L68*5</f>
        <v>5</v>
      </c>
      <c r="N68" s="51">
        <v>20</v>
      </c>
      <c r="O68" s="63" t="s">
        <v>600</v>
      </c>
      <c r="P68" s="52">
        <v>3.3500000000000002E-2</v>
      </c>
      <c r="Q68" s="52">
        <f t="shared" ref="Q68" si="55">P68*N68</f>
        <v>0.67</v>
      </c>
      <c r="R68" s="51"/>
      <c r="S68" s="59"/>
    </row>
    <row r="69" spans="1:19" ht="36" x14ac:dyDescent="0.25">
      <c r="A69" s="1"/>
      <c r="B69" s="46">
        <f>ROW(B69) - ROW($B$9)</f>
        <v>60</v>
      </c>
      <c r="C69" s="53" t="s">
        <v>26</v>
      </c>
      <c r="D69" s="37" t="s">
        <v>92</v>
      </c>
      <c r="E69" s="37" t="s">
        <v>198</v>
      </c>
      <c r="F69" s="37" t="s">
        <v>262</v>
      </c>
      <c r="G69" s="37" t="s">
        <v>351</v>
      </c>
      <c r="H69" s="37" t="s">
        <v>407</v>
      </c>
      <c r="I69" s="51" t="s">
        <v>601</v>
      </c>
      <c r="J69" s="37" t="s">
        <v>486</v>
      </c>
      <c r="K69" s="37" t="s">
        <v>601</v>
      </c>
      <c r="L69" s="37">
        <v>2</v>
      </c>
      <c r="M69" s="37">
        <f>L69*5</f>
        <v>10</v>
      </c>
      <c r="N69" s="37">
        <v>20</v>
      </c>
      <c r="O69" s="63" t="s">
        <v>600</v>
      </c>
      <c r="P69" s="38">
        <v>6.6600000000000006E-2</v>
      </c>
      <c r="Q69" s="38">
        <f>P69*N69</f>
        <v>1.3320000000000001</v>
      </c>
      <c r="R69" s="37"/>
      <c r="S69" s="59"/>
    </row>
    <row r="70" spans="1:19" x14ac:dyDescent="0.25">
      <c r="A70" s="1"/>
      <c r="B70" s="47">
        <f t="shared" si="0"/>
        <v>61</v>
      </c>
      <c r="C70" s="54" t="s">
        <v>26</v>
      </c>
      <c r="D70" s="51" t="s">
        <v>93</v>
      </c>
      <c r="E70" s="51" t="s">
        <v>199</v>
      </c>
      <c r="F70" s="51" t="s">
        <v>262</v>
      </c>
      <c r="G70" s="51" t="s">
        <v>352</v>
      </c>
      <c r="H70" s="51" t="s">
        <v>423</v>
      </c>
      <c r="I70" s="51"/>
      <c r="J70" s="51" t="s">
        <v>487</v>
      </c>
      <c r="K70" s="51" t="s">
        <v>601</v>
      </c>
      <c r="L70" s="51">
        <v>1</v>
      </c>
      <c r="M70" s="51">
        <f t="shared" ref="M70" si="56">L70*5</f>
        <v>5</v>
      </c>
      <c r="N70" s="51">
        <v>20</v>
      </c>
      <c r="O70" s="63" t="s">
        <v>600</v>
      </c>
      <c r="P70" s="52">
        <v>3.4099999999999998E-2</v>
      </c>
      <c r="Q70" s="52">
        <f t="shared" ref="Q70" si="57">P70*N70</f>
        <v>0.68199999999999994</v>
      </c>
      <c r="R70" s="51"/>
      <c r="S70" s="59"/>
    </row>
    <row r="71" spans="1:19" ht="24" x14ac:dyDescent="0.25">
      <c r="A71" s="1"/>
      <c r="B71" s="46">
        <f>ROW(B71) - ROW($B$9)</f>
        <v>62</v>
      </c>
      <c r="C71" s="53" t="s">
        <v>26</v>
      </c>
      <c r="D71" s="37" t="s">
        <v>94</v>
      </c>
      <c r="E71" s="37" t="s">
        <v>200</v>
      </c>
      <c r="F71" s="37" t="s">
        <v>281</v>
      </c>
      <c r="G71" s="37" t="s">
        <v>353</v>
      </c>
      <c r="H71" s="37" t="s">
        <v>424</v>
      </c>
      <c r="I71" s="37"/>
      <c r="J71" s="37" t="s">
        <v>488</v>
      </c>
      <c r="K71" s="37" t="s">
        <v>601</v>
      </c>
      <c r="L71" s="37">
        <v>1</v>
      </c>
      <c r="M71" s="37">
        <f>L71*5</f>
        <v>5</v>
      </c>
      <c r="N71" s="37">
        <v>50</v>
      </c>
      <c r="O71" s="63" t="s">
        <v>600</v>
      </c>
      <c r="P71" s="38">
        <v>1.6299999999999999E-2</v>
      </c>
      <c r="Q71" s="38">
        <f>P71*N71</f>
        <v>0.81499999999999995</v>
      </c>
      <c r="R71" s="37"/>
      <c r="S71" s="59"/>
    </row>
    <row r="72" spans="1:19" x14ac:dyDescent="0.25">
      <c r="A72" s="1"/>
      <c r="B72" s="47">
        <f t="shared" si="0"/>
        <v>63</v>
      </c>
      <c r="C72" s="53" t="s">
        <v>27</v>
      </c>
      <c r="D72" s="66" t="s">
        <v>95</v>
      </c>
      <c r="E72" s="51" t="s">
        <v>201</v>
      </c>
      <c r="F72" s="51" t="s">
        <v>283</v>
      </c>
      <c r="G72" s="51" t="s">
        <v>354</v>
      </c>
      <c r="H72" s="51" t="s">
        <v>398</v>
      </c>
      <c r="I72" s="51"/>
      <c r="J72" s="51" t="s">
        <v>489</v>
      </c>
      <c r="K72" s="51" t="s">
        <v>554</v>
      </c>
      <c r="L72" s="51">
        <v>4</v>
      </c>
      <c r="M72" s="51">
        <f t="shared" ref="M72" si="58">L72*5</f>
        <v>20</v>
      </c>
      <c r="N72" s="51">
        <v>100</v>
      </c>
      <c r="O72" s="63" t="s">
        <v>600</v>
      </c>
      <c r="P72" s="52">
        <v>1.2999999999999999E-3</v>
      </c>
      <c r="Q72" s="52">
        <f t="shared" ref="Q72" si="59">P72*N72</f>
        <v>0.13</v>
      </c>
      <c r="R72" s="51"/>
      <c r="S72" s="59"/>
    </row>
    <row r="73" spans="1:19" x14ac:dyDescent="0.25">
      <c r="A73" s="1"/>
      <c r="B73" s="46">
        <f>ROW(B73) - ROW($B$9)</f>
        <v>64</v>
      </c>
      <c r="C73" s="53" t="s">
        <v>27</v>
      </c>
      <c r="D73" s="64" t="s">
        <v>96</v>
      </c>
      <c r="E73" s="37" t="s">
        <v>202</v>
      </c>
      <c r="F73" s="37" t="s">
        <v>284</v>
      </c>
      <c r="G73" s="37" t="s">
        <v>355</v>
      </c>
      <c r="H73" s="37" t="s">
        <v>398</v>
      </c>
      <c r="I73" s="37"/>
      <c r="J73" s="37" t="s">
        <v>490</v>
      </c>
      <c r="K73" s="37" t="s">
        <v>555</v>
      </c>
      <c r="L73" s="37">
        <v>2</v>
      </c>
      <c r="M73" s="37">
        <f>L73*5</f>
        <v>10</v>
      </c>
      <c r="N73" s="37">
        <v>100</v>
      </c>
      <c r="O73" s="63" t="s">
        <v>600</v>
      </c>
      <c r="P73" s="38">
        <v>6.9999999999999999E-4</v>
      </c>
      <c r="Q73" s="38">
        <f>P73*N73</f>
        <v>6.9999999999999993E-2</v>
      </c>
      <c r="R73" s="37"/>
      <c r="S73" s="59"/>
    </row>
    <row r="74" spans="1:19" ht="36" x14ac:dyDescent="0.25">
      <c r="A74" s="1"/>
      <c r="B74" s="47">
        <f>ROW(B74) - ROW($B$9)</f>
        <v>65</v>
      </c>
      <c r="C74" s="54" t="s">
        <v>27</v>
      </c>
      <c r="D74" s="66" t="s">
        <v>623</v>
      </c>
      <c r="E74" s="51" t="s">
        <v>205</v>
      </c>
      <c r="F74" s="51" t="s">
        <v>284</v>
      </c>
      <c r="G74" s="51" t="s">
        <v>358</v>
      </c>
      <c r="H74" s="51" t="s">
        <v>398</v>
      </c>
      <c r="I74" s="51"/>
      <c r="J74" s="51" t="s">
        <v>492</v>
      </c>
      <c r="K74" s="66" t="s">
        <v>559</v>
      </c>
      <c r="L74" s="51">
        <v>18</v>
      </c>
      <c r="M74" s="51">
        <f t="shared" ref="M74" si="60">L74*5</f>
        <v>90</v>
      </c>
      <c r="N74" s="51">
        <v>100</v>
      </c>
      <c r="O74" s="63" t="s">
        <v>600</v>
      </c>
      <c r="P74" s="52">
        <v>5.9999999999999995E-4</v>
      </c>
      <c r="Q74" s="52">
        <f t="shared" ref="Q74" si="61">P74*N74</f>
        <v>0.06</v>
      </c>
      <c r="R74" s="51"/>
      <c r="S74" s="59"/>
    </row>
    <row r="75" spans="1:19" x14ac:dyDescent="0.25">
      <c r="A75" s="1"/>
      <c r="B75" s="47">
        <f>ROW(B75) - ROW($B$9)</f>
        <v>66</v>
      </c>
      <c r="C75" s="54" t="s">
        <v>27</v>
      </c>
      <c r="D75" s="66" t="s">
        <v>624</v>
      </c>
      <c r="E75" s="51" t="s">
        <v>216</v>
      </c>
      <c r="F75" s="51" t="s">
        <v>283</v>
      </c>
      <c r="G75" s="51" t="s">
        <v>369</v>
      </c>
      <c r="H75" s="51" t="s">
        <v>398</v>
      </c>
      <c r="I75" s="51"/>
      <c r="J75" s="51" t="s">
        <v>503</v>
      </c>
      <c r="K75" s="66" t="s">
        <v>556</v>
      </c>
      <c r="L75" s="51">
        <v>6</v>
      </c>
      <c r="M75" s="51">
        <f t="shared" ref="M75" si="62">L75*5</f>
        <v>30</v>
      </c>
      <c r="N75" s="51">
        <v>100</v>
      </c>
      <c r="O75" s="63" t="s">
        <v>600</v>
      </c>
      <c r="P75" s="52">
        <v>1E-3</v>
      </c>
      <c r="Q75" s="52">
        <f t="shared" ref="Q75" si="63">P75*N75</f>
        <v>0.1</v>
      </c>
      <c r="R75" s="51"/>
      <c r="S75" s="59"/>
    </row>
    <row r="76" spans="1:19" x14ac:dyDescent="0.25">
      <c r="A76" s="1"/>
      <c r="B76" s="47">
        <f t="shared" si="0"/>
        <v>67</v>
      </c>
      <c r="C76" s="54" t="s">
        <v>27</v>
      </c>
      <c r="D76" s="66" t="s">
        <v>97</v>
      </c>
      <c r="E76" s="51" t="s">
        <v>203</v>
      </c>
      <c r="F76" s="51" t="s">
        <v>284</v>
      </c>
      <c r="G76" s="51" t="s">
        <v>356</v>
      </c>
      <c r="H76" s="51" t="s">
        <v>398</v>
      </c>
      <c r="I76" s="51"/>
      <c r="J76" s="51" t="s">
        <v>491</v>
      </c>
      <c r="K76" s="51" t="s">
        <v>557</v>
      </c>
      <c r="L76" s="51">
        <v>2</v>
      </c>
      <c r="M76" s="51">
        <f t="shared" ref="M76" si="64">L76*5</f>
        <v>10</v>
      </c>
      <c r="N76" s="51">
        <v>100</v>
      </c>
      <c r="O76" s="63" t="s">
        <v>600</v>
      </c>
      <c r="P76" s="52">
        <v>6.9999999999999999E-4</v>
      </c>
      <c r="Q76" s="52">
        <f t="shared" ref="Q76" si="65">P76*N76</f>
        <v>6.9999999999999993E-2</v>
      </c>
      <c r="R76" s="51"/>
      <c r="S76" s="59"/>
    </row>
    <row r="77" spans="1:19" x14ac:dyDescent="0.25">
      <c r="A77" s="1"/>
      <c r="B77" s="46">
        <f>ROW(B77) - ROW($B$9)</f>
        <v>68</v>
      </c>
      <c r="C77" s="54" t="s">
        <v>27</v>
      </c>
      <c r="D77" s="64" t="s">
        <v>98</v>
      </c>
      <c r="E77" s="37" t="s">
        <v>204</v>
      </c>
      <c r="F77" s="37" t="s">
        <v>284</v>
      </c>
      <c r="G77" s="37" t="s">
        <v>357</v>
      </c>
      <c r="H77" s="37" t="s">
        <v>398</v>
      </c>
      <c r="I77" s="37"/>
      <c r="J77" s="37" t="s">
        <v>620</v>
      </c>
      <c r="K77" s="37" t="s">
        <v>558</v>
      </c>
      <c r="L77" s="37">
        <v>1</v>
      </c>
      <c r="M77" s="37">
        <f>L77*5</f>
        <v>5</v>
      </c>
      <c r="N77" s="37">
        <v>100</v>
      </c>
      <c r="O77" s="63" t="s">
        <v>600</v>
      </c>
      <c r="P77" s="38">
        <v>6.9999999999999999E-4</v>
      </c>
      <c r="Q77" s="38">
        <f>P77*N77</f>
        <v>6.9999999999999993E-2</v>
      </c>
      <c r="R77" s="37"/>
      <c r="S77" s="59"/>
    </row>
    <row r="78" spans="1:19" x14ac:dyDescent="0.25">
      <c r="A78" s="1"/>
      <c r="B78" s="46">
        <f>ROW(B78) - ROW($B$9)</f>
        <v>69</v>
      </c>
      <c r="C78" s="53" t="s">
        <v>27</v>
      </c>
      <c r="D78" s="64" t="s">
        <v>99</v>
      </c>
      <c r="E78" s="37" t="s">
        <v>206</v>
      </c>
      <c r="F78" s="37" t="s">
        <v>283</v>
      </c>
      <c r="G78" s="37" t="s">
        <v>359</v>
      </c>
      <c r="H78" s="37" t="s">
        <v>398</v>
      </c>
      <c r="I78" s="37"/>
      <c r="J78" s="37" t="s">
        <v>493</v>
      </c>
      <c r="K78" s="37" t="s">
        <v>560</v>
      </c>
      <c r="L78" s="37">
        <v>1</v>
      </c>
      <c r="M78" s="37">
        <f>L78*5</f>
        <v>5</v>
      </c>
      <c r="N78" s="37">
        <v>20</v>
      </c>
      <c r="O78" s="63" t="s">
        <v>600</v>
      </c>
      <c r="P78" s="38">
        <v>2.3199999999999998E-2</v>
      </c>
      <c r="Q78" s="38">
        <f>P78*N78</f>
        <v>0.46399999999999997</v>
      </c>
      <c r="R78" s="37"/>
      <c r="S78" s="59"/>
    </row>
    <row r="79" spans="1:19" x14ac:dyDescent="0.25">
      <c r="A79" s="1"/>
      <c r="B79" s="47">
        <f t="shared" si="0"/>
        <v>70</v>
      </c>
      <c r="C79" s="54" t="s">
        <v>27</v>
      </c>
      <c r="D79" s="66" t="s">
        <v>100</v>
      </c>
      <c r="E79" s="51" t="s">
        <v>207</v>
      </c>
      <c r="F79" s="51" t="s">
        <v>283</v>
      </c>
      <c r="G79" s="51" t="s">
        <v>360</v>
      </c>
      <c r="H79" s="51" t="s">
        <v>398</v>
      </c>
      <c r="I79" s="51"/>
      <c r="J79" s="51" t="s">
        <v>494</v>
      </c>
      <c r="K79" s="51" t="s">
        <v>561</v>
      </c>
      <c r="L79" s="51">
        <v>1</v>
      </c>
      <c r="M79" s="51">
        <f t="shared" ref="M79" si="66">L79*5</f>
        <v>5</v>
      </c>
      <c r="N79" s="51">
        <v>20</v>
      </c>
      <c r="O79" s="63" t="s">
        <v>600</v>
      </c>
      <c r="P79" s="52">
        <v>2.5000000000000001E-2</v>
      </c>
      <c r="Q79" s="52">
        <f t="shared" ref="Q79" si="67">P79*N79</f>
        <v>0.5</v>
      </c>
      <c r="R79" s="51"/>
      <c r="S79" s="59"/>
    </row>
    <row r="80" spans="1:19" x14ac:dyDescent="0.25">
      <c r="A80" s="1"/>
      <c r="B80" s="46">
        <f>ROW(B80) - ROW($B$9)</f>
        <v>71</v>
      </c>
      <c r="C80" s="53" t="s">
        <v>27</v>
      </c>
      <c r="D80" s="37" t="s">
        <v>101</v>
      </c>
      <c r="E80" s="37" t="s">
        <v>208</v>
      </c>
      <c r="F80" s="37" t="s">
        <v>283</v>
      </c>
      <c r="G80" s="37" t="s">
        <v>361</v>
      </c>
      <c r="H80" s="37" t="s">
        <v>398</v>
      </c>
      <c r="I80" s="37"/>
      <c r="J80" s="37" t="s">
        <v>495</v>
      </c>
      <c r="K80" s="37" t="s">
        <v>562</v>
      </c>
      <c r="L80" s="37">
        <v>1</v>
      </c>
      <c r="M80" s="37">
        <f>L80*5</f>
        <v>5</v>
      </c>
      <c r="N80" s="37">
        <v>100</v>
      </c>
      <c r="O80" s="63" t="s">
        <v>600</v>
      </c>
      <c r="P80" s="38">
        <v>1.1999999999999999E-3</v>
      </c>
      <c r="Q80" s="38">
        <f>P80*N80</f>
        <v>0.12</v>
      </c>
      <c r="R80" s="37"/>
      <c r="S80" s="59"/>
    </row>
    <row r="81" spans="1:19" x14ac:dyDescent="0.25">
      <c r="A81" s="1"/>
      <c r="B81" s="47">
        <f t="shared" si="0"/>
        <v>72</v>
      </c>
      <c r="C81" s="54" t="s">
        <v>27</v>
      </c>
      <c r="D81" s="51" t="s">
        <v>102</v>
      </c>
      <c r="E81" s="51" t="s">
        <v>209</v>
      </c>
      <c r="F81" s="51" t="s">
        <v>283</v>
      </c>
      <c r="G81" s="51" t="s">
        <v>362</v>
      </c>
      <c r="H81" s="51" t="s">
        <v>398</v>
      </c>
      <c r="I81" s="51"/>
      <c r="J81" s="51" t="s">
        <v>496</v>
      </c>
      <c r="K81" s="51" t="s">
        <v>550</v>
      </c>
      <c r="L81" s="51">
        <v>1</v>
      </c>
      <c r="M81" s="51">
        <f t="shared" ref="M81" si="68">L81*5</f>
        <v>5</v>
      </c>
      <c r="N81" s="51">
        <v>100</v>
      </c>
      <c r="O81" s="63" t="s">
        <v>600</v>
      </c>
      <c r="P81" s="52" t="s">
        <v>601</v>
      </c>
      <c r="Q81" s="52" t="s">
        <v>601</v>
      </c>
      <c r="R81" s="67" t="s">
        <v>619</v>
      </c>
      <c r="S81" s="59"/>
    </row>
    <row r="82" spans="1:19" x14ac:dyDescent="0.25">
      <c r="A82" s="1"/>
      <c r="B82" s="46">
        <f>ROW(B82) - ROW($B$9)</f>
        <v>73</v>
      </c>
      <c r="C82" s="53" t="s">
        <v>27</v>
      </c>
      <c r="D82" s="37" t="s">
        <v>103</v>
      </c>
      <c r="E82" s="37" t="s">
        <v>210</v>
      </c>
      <c r="F82" s="37" t="s">
        <v>283</v>
      </c>
      <c r="G82" s="37" t="s">
        <v>363</v>
      </c>
      <c r="H82" s="37" t="s">
        <v>398</v>
      </c>
      <c r="I82" s="37"/>
      <c r="J82" s="37" t="s">
        <v>497</v>
      </c>
      <c r="K82" s="37" t="s">
        <v>563</v>
      </c>
      <c r="L82" s="37">
        <v>1</v>
      </c>
      <c r="M82" s="37">
        <f>L82*5</f>
        <v>5</v>
      </c>
      <c r="N82" s="37">
        <v>100</v>
      </c>
      <c r="O82" s="63" t="s">
        <v>600</v>
      </c>
      <c r="P82" s="38">
        <v>1.4E-3</v>
      </c>
      <c r="Q82" s="38">
        <f>P82*N82</f>
        <v>0.13999999999999999</v>
      </c>
      <c r="R82" s="37"/>
      <c r="S82" s="59"/>
    </row>
    <row r="83" spans="1:19" x14ac:dyDescent="0.25">
      <c r="A83" s="1"/>
      <c r="B83" s="47">
        <f t="shared" si="0"/>
        <v>74</v>
      </c>
      <c r="C83" s="54" t="s">
        <v>27</v>
      </c>
      <c r="D83" s="51" t="s">
        <v>104</v>
      </c>
      <c r="E83" s="51" t="s">
        <v>211</v>
      </c>
      <c r="F83" s="51" t="s">
        <v>283</v>
      </c>
      <c r="G83" s="51" t="s">
        <v>364</v>
      </c>
      <c r="H83" s="51" t="s">
        <v>398</v>
      </c>
      <c r="I83" s="51"/>
      <c r="J83" s="51" t="s">
        <v>498</v>
      </c>
      <c r="K83" s="51" t="s">
        <v>564</v>
      </c>
      <c r="L83" s="51">
        <v>1</v>
      </c>
      <c r="M83" s="51">
        <f t="shared" ref="M83" si="69">L83*5</f>
        <v>5</v>
      </c>
      <c r="N83" s="51">
        <v>100</v>
      </c>
      <c r="O83" s="63" t="s">
        <v>600</v>
      </c>
      <c r="P83" s="52">
        <v>1.2999999999999999E-3</v>
      </c>
      <c r="Q83" s="52">
        <f t="shared" ref="Q83" si="70">P83*N83</f>
        <v>0.13</v>
      </c>
      <c r="R83" s="51"/>
      <c r="S83" s="59"/>
    </row>
    <row r="84" spans="1:19" x14ac:dyDescent="0.25">
      <c r="A84" s="1"/>
      <c r="B84" s="46">
        <f>ROW(B84) - ROW($B$9)</f>
        <v>75</v>
      </c>
      <c r="C84" s="53" t="s">
        <v>27</v>
      </c>
      <c r="D84" s="37" t="s">
        <v>105</v>
      </c>
      <c r="E84" s="37" t="s">
        <v>212</v>
      </c>
      <c r="F84" s="37" t="s">
        <v>283</v>
      </c>
      <c r="G84" s="37" t="s">
        <v>365</v>
      </c>
      <c r="H84" s="37" t="s">
        <v>398</v>
      </c>
      <c r="I84" s="37"/>
      <c r="J84" s="37" t="s">
        <v>499</v>
      </c>
      <c r="K84" s="37" t="s">
        <v>565</v>
      </c>
      <c r="L84" s="37">
        <v>1</v>
      </c>
      <c r="M84" s="37">
        <f>L84*5</f>
        <v>5</v>
      </c>
      <c r="N84" s="37">
        <v>100</v>
      </c>
      <c r="O84" s="63" t="s">
        <v>600</v>
      </c>
      <c r="P84" s="38">
        <v>1.1999999999999999E-3</v>
      </c>
      <c r="Q84" s="38">
        <f>P84*N84</f>
        <v>0.12</v>
      </c>
      <c r="R84" s="37"/>
      <c r="S84" s="59"/>
    </row>
    <row r="85" spans="1:19" x14ac:dyDescent="0.25">
      <c r="A85" s="1"/>
      <c r="B85" s="47">
        <f t="shared" si="0"/>
        <v>76</v>
      </c>
      <c r="C85" s="54" t="s">
        <v>27</v>
      </c>
      <c r="D85" s="51" t="s">
        <v>106</v>
      </c>
      <c r="E85" s="51" t="s">
        <v>209</v>
      </c>
      <c r="F85" s="51" t="s">
        <v>283</v>
      </c>
      <c r="G85" s="51" t="s">
        <v>362</v>
      </c>
      <c r="H85" s="51" t="s">
        <v>398</v>
      </c>
      <c r="I85" s="51"/>
      <c r="J85" s="51" t="s">
        <v>496</v>
      </c>
      <c r="K85" s="51" t="s">
        <v>566</v>
      </c>
      <c r="L85" s="51">
        <v>1</v>
      </c>
      <c r="M85" s="51">
        <f t="shared" ref="M85" si="71">L85*5</f>
        <v>5</v>
      </c>
      <c r="N85" s="51">
        <v>100</v>
      </c>
      <c r="O85" s="63" t="s">
        <v>600</v>
      </c>
      <c r="P85" s="52">
        <v>1.2999999999999999E-3</v>
      </c>
      <c r="Q85" s="52">
        <f t="shared" ref="Q85" si="72">P85*N85</f>
        <v>0.13</v>
      </c>
      <c r="R85" s="51"/>
      <c r="S85" s="59"/>
    </row>
    <row r="86" spans="1:19" x14ac:dyDescent="0.25">
      <c r="A86" s="1"/>
      <c r="B86" s="46">
        <f>ROW(B86) - ROW($B$9)</f>
        <v>77</v>
      </c>
      <c r="C86" s="54" t="s">
        <v>27</v>
      </c>
      <c r="D86" s="37" t="s">
        <v>107</v>
      </c>
      <c r="E86" s="37" t="s">
        <v>213</v>
      </c>
      <c r="F86" s="37" t="s">
        <v>283</v>
      </c>
      <c r="G86" s="37" t="s">
        <v>366</v>
      </c>
      <c r="H86" s="37" t="s">
        <v>398</v>
      </c>
      <c r="I86" s="37"/>
      <c r="J86" s="37" t="s">
        <v>500</v>
      </c>
      <c r="K86" s="37" t="s">
        <v>567</v>
      </c>
      <c r="L86" s="37">
        <v>1</v>
      </c>
      <c r="M86" s="37">
        <f>L86*5</f>
        <v>5</v>
      </c>
      <c r="N86" s="37">
        <v>100</v>
      </c>
      <c r="O86" s="63" t="s">
        <v>600</v>
      </c>
      <c r="P86" s="38">
        <v>1E-3</v>
      </c>
      <c r="Q86" s="38">
        <f>P86*N86</f>
        <v>0.1</v>
      </c>
      <c r="R86" s="37"/>
      <c r="S86" s="59"/>
    </row>
    <row r="87" spans="1:19" x14ac:dyDescent="0.25">
      <c r="A87" s="1"/>
      <c r="B87" s="46">
        <f>ROW(B87) - ROW($B$9)</f>
        <v>78</v>
      </c>
      <c r="C87" s="53" t="s">
        <v>27</v>
      </c>
      <c r="D87" s="37" t="s">
        <v>108</v>
      </c>
      <c r="E87" s="37" t="s">
        <v>215</v>
      </c>
      <c r="F87" s="37" t="s">
        <v>283</v>
      </c>
      <c r="G87" s="37" t="s">
        <v>368</v>
      </c>
      <c r="H87" s="37" t="s">
        <v>398</v>
      </c>
      <c r="I87" s="37"/>
      <c r="J87" s="37" t="s">
        <v>502</v>
      </c>
      <c r="K87" s="37" t="s">
        <v>568</v>
      </c>
      <c r="L87" s="37">
        <v>3</v>
      </c>
      <c r="M87" s="37">
        <f>L87*5</f>
        <v>15</v>
      </c>
      <c r="N87" s="37">
        <v>100</v>
      </c>
      <c r="O87" s="63" t="s">
        <v>600</v>
      </c>
      <c r="P87" s="38">
        <v>1.2999999999999999E-3</v>
      </c>
      <c r="Q87" s="38">
        <f>P87*N87</f>
        <v>0.13</v>
      </c>
      <c r="R87" s="37"/>
      <c r="S87" s="59"/>
    </row>
    <row r="88" spans="1:19" x14ac:dyDescent="0.25">
      <c r="A88" s="1"/>
      <c r="B88" s="47">
        <f t="shared" si="0"/>
        <v>79</v>
      </c>
      <c r="C88" s="54" t="s">
        <v>27</v>
      </c>
      <c r="D88" s="37" t="s">
        <v>650</v>
      </c>
      <c r="E88" s="51" t="s">
        <v>214</v>
      </c>
      <c r="F88" s="51" t="s">
        <v>283</v>
      </c>
      <c r="G88" s="51" t="s">
        <v>367</v>
      </c>
      <c r="H88" s="51" t="s">
        <v>398</v>
      </c>
      <c r="I88" s="51"/>
      <c r="J88" s="51" t="s">
        <v>501</v>
      </c>
      <c r="K88" s="51" t="s">
        <v>559</v>
      </c>
      <c r="L88" s="51">
        <v>2</v>
      </c>
      <c r="M88" s="51">
        <f t="shared" ref="M88" si="73">L88*5</f>
        <v>10</v>
      </c>
      <c r="N88" s="51">
        <v>100</v>
      </c>
      <c r="O88" s="63" t="s">
        <v>600</v>
      </c>
      <c r="P88" s="52">
        <v>1E-3</v>
      </c>
      <c r="Q88" s="52">
        <f t="shared" ref="Q88" si="74">P88*N88</f>
        <v>0.1</v>
      </c>
      <c r="R88" s="51"/>
      <c r="S88" s="59"/>
    </row>
    <row r="89" spans="1:19" x14ac:dyDescent="0.25">
      <c r="A89" s="1"/>
      <c r="B89" s="46">
        <f>ROW(B89) - ROW($B$9)</f>
        <v>80</v>
      </c>
      <c r="C89" s="53" t="s">
        <v>27</v>
      </c>
      <c r="D89" s="37" t="s">
        <v>109</v>
      </c>
      <c r="E89" s="37" t="s">
        <v>217</v>
      </c>
      <c r="F89" s="37" t="s">
        <v>283</v>
      </c>
      <c r="G89" s="37" t="s">
        <v>370</v>
      </c>
      <c r="H89" s="37" t="s">
        <v>398</v>
      </c>
      <c r="I89" s="37"/>
      <c r="J89" s="37" t="s">
        <v>504</v>
      </c>
      <c r="K89" s="37" t="s">
        <v>569</v>
      </c>
      <c r="L89" s="37">
        <v>1</v>
      </c>
      <c r="M89" s="37">
        <f>L89*5</f>
        <v>5</v>
      </c>
      <c r="N89" s="37">
        <v>100</v>
      </c>
      <c r="O89" s="63" t="s">
        <v>600</v>
      </c>
      <c r="P89" s="38">
        <v>1.2999999999999999E-3</v>
      </c>
      <c r="Q89" s="38">
        <f>P89*N89</f>
        <v>0.13</v>
      </c>
      <c r="R89" s="37"/>
      <c r="S89" s="59"/>
    </row>
    <row r="90" spans="1:19" x14ac:dyDescent="0.25">
      <c r="A90" s="1"/>
      <c r="B90" s="47">
        <f t="shared" si="0"/>
        <v>81</v>
      </c>
      <c r="C90" s="53" t="s">
        <v>27</v>
      </c>
      <c r="D90" s="51" t="s">
        <v>110</v>
      </c>
      <c r="E90" s="51" t="s">
        <v>218</v>
      </c>
      <c r="F90" s="51" t="s">
        <v>284</v>
      </c>
      <c r="G90" s="68" t="s">
        <v>371</v>
      </c>
      <c r="H90" s="51" t="s">
        <v>425</v>
      </c>
      <c r="I90" s="51" t="s">
        <v>636</v>
      </c>
      <c r="J90" s="51" t="s">
        <v>637</v>
      </c>
      <c r="K90" s="51" t="s">
        <v>570</v>
      </c>
      <c r="L90" s="51">
        <v>1</v>
      </c>
      <c r="M90" s="51">
        <f t="shared" ref="M90" si="75">L90*5</f>
        <v>5</v>
      </c>
      <c r="N90" s="51">
        <v>100</v>
      </c>
      <c r="O90" s="63" t="s">
        <v>600</v>
      </c>
      <c r="P90" s="52">
        <v>5.9999999999999995E-4</v>
      </c>
      <c r="Q90" s="52">
        <f t="shared" ref="Q90" si="76">P90*N90</f>
        <v>0.06</v>
      </c>
      <c r="R90" s="51"/>
      <c r="S90" s="59"/>
    </row>
    <row r="91" spans="1:19" x14ac:dyDescent="0.25">
      <c r="A91" s="1"/>
      <c r="B91" s="46">
        <f>ROW(B91) - ROW($B$9)</f>
        <v>82</v>
      </c>
      <c r="C91" s="53" t="s">
        <v>27</v>
      </c>
      <c r="D91" s="37" t="s">
        <v>111</v>
      </c>
      <c r="E91" s="37" t="s">
        <v>219</v>
      </c>
      <c r="F91" s="37" t="s">
        <v>283</v>
      </c>
      <c r="G91" s="37" t="s">
        <v>372</v>
      </c>
      <c r="H91" s="37" t="s">
        <v>398</v>
      </c>
      <c r="I91" s="37"/>
      <c r="J91" s="37" t="s">
        <v>505</v>
      </c>
      <c r="K91" s="37" t="s">
        <v>571</v>
      </c>
      <c r="L91" s="37">
        <v>1</v>
      </c>
      <c r="M91" s="37">
        <f>L91*5</f>
        <v>5</v>
      </c>
      <c r="N91" s="37">
        <v>100</v>
      </c>
      <c r="O91" s="63" t="s">
        <v>600</v>
      </c>
      <c r="P91" s="38">
        <v>1.9E-3</v>
      </c>
      <c r="Q91" s="38">
        <f>P91*N91</f>
        <v>0.19</v>
      </c>
      <c r="R91" s="37"/>
      <c r="S91" s="59"/>
    </row>
    <row r="92" spans="1:19" x14ac:dyDescent="0.25">
      <c r="A92" s="1"/>
      <c r="B92" s="47">
        <f t="shared" si="0"/>
        <v>83</v>
      </c>
      <c r="C92" s="54" t="s">
        <v>27</v>
      </c>
      <c r="D92" s="51" t="s">
        <v>112</v>
      </c>
      <c r="E92" s="51" t="s">
        <v>220</v>
      </c>
      <c r="F92" s="51" t="s">
        <v>283</v>
      </c>
      <c r="G92" s="51" t="s">
        <v>373</v>
      </c>
      <c r="H92" s="51" t="s">
        <v>398</v>
      </c>
      <c r="I92" s="51"/>
      <c r="J92" s="51" t="s">
        <v>506</v>
      </c>
      <c r="K92" s="51" t="s">
        <v>572</v>
      </c>
      <c r="L92" s="51">
        <v>2</v>
      </c>
      <c r="M92" s="51">
        <f t="shared" ref="M92" si="77">L92*5</f>
        <v>10</v>
      </c>
      <c r="N92" s="51">
        <v>100</v>
      </c>
      <c r="O92" s="63" t="s">
        <v>600</v>
      </c>
      <c r="P92" s="52">
        <v>1.1000000000000001E-3</v>
      </c>
      <c r="Q92" s="52">
        <f t="shared" ref="Q92" si="78">P92*N92</f>
        <v>0.11</v>
      </c>
      <c r="R92" s="51"/>
      <c r="S92" s="59"/>
    </row>
    <row r="93" spans="1:19" x14ac:dyDescent="0.25">
      <c r="A93" s="1"/>
      <c r="B93" s="46">
        <f>ROW(B93) - ROW($B$9)</f>
        <v>84</v>
      </c>
      <c r="C93" s="53" t="s">
        <v>27</v>
      </c>
      <c r="D93" s="37" t="s">
        <v>113</v>
      </c>
      <c r="E93" s="37" t="s">
        <v>221</v>
      </c>
      <c r="F93" s="37" t="s">
        <v>283</v>
      </c>
      <c r="G93" s="37" t="s">
        <v>374</v>
      </c>
      <c r="H93" s="37" t="s">
        <v>398</v>
      </c>
      <c r="I93" s="37"/>
      <c r="J93" s="37" t="s">
        <v>507</v>
      </c>
      <c r="K93" s="37" t="s">
        <v>573</v>
      </c>
      <c r="L93" s="37">
        <v>1</v>
      </c>
      <c r="M93" s="37">
        <f>L93*5</f>
        <v>5</v>
      </c>
      <c r="N93" s="37">
        <v>100</v>
      </c>
      <c r="O93" s="63" t="s">
        <v>600</v>
      </c>
      <c r="P93" s="38">
        <v>2.7000000000000001E-3</v>
      </c>
      <c r="Q93" s="38">
        <f>P93*N93</f>
        <v>0.27</v>
      </c>
      <c r="R93" s="37"/>
      <c r="S93" s="59"/>
    </row>
    <row r="94" spans="1:19" x14ac:dyDescent="0.25">
      <c r="A94" s="1"/>
      <c r="B94" s="47">
        <f t="shared" si="0"/>
        <v>85</v>
      </c>
      <c r="C94" s="54" t="s">
        <v>27</v>
      </c>
      <c r="D94" s="51" t="s">
        <v>114</v>
      </c>
      <c r="E94" s="51" t="s">
        <v>222</v>
      </c>
      <c r="F94" s="51" t="s">
        <v>283</v>
      </c>
      <c r="G94" s="51" t="s">
        <v>375</v>
      </c>
      <c r="H94" s="51" t="s">
        <v>398</v>
      </c>
      <c r="I94" s="51"/>
      <c r="J94" s="51" t="s">
        <v>508</v>
      </c>
      <c r="K94" s="51" t="s">
        <v>574</v>
      </c>
      <c r="L94" s="51">
        <v>4</v>
      </c>
      <c r="M94" s="51">
        <f t="shared" ref="M94" si="79">L94*5</f>
        <v>20</v>
      </c>
      <c r="N94" s="51">
        <v>100</v>
      </c>
      <c r="O94" s="63" t="s">
        <v>600</v>
      </c>
      <c r="P94" s="52">
        <v>1.1999999999999999E-3</v>
      </c>
      <c r="Q94" s="52">
        <f t="shared" ref="Q94" si="80">P94*N94</f>
        <v>0.12</v>
      </c>
      <c r="R94" s="51"/>
      <c r="S94" s="59"/>
    </row>
    <row r="95" spans="1:19" x14ac:dyDescent="0.25">
      <c r="A95" s="1"/>
      <c r="B95" s="46">
        <f>ROW(B95) - ROW($B$9)</f>
        <v>86</v>
      </c>
      <c r="C95" s="53" t="s">
        <v>27</v>
      </c>
      <c r="D95" s="37" t="s">
        <v>115</v>
      </c>
      <c r="E95" s="37" t="s">
        <v>223</v>
      </c>
      <c r="F95" s="37" t="s">
        <v>285</v>
      </c>
      <c r="G95" s="37" t="s">
        <v>376</v>
      </c>
      <c r="H95" s="37" t="s">
        <v>398</v>
      </c>
      <c r="I95" s="37"/>
      <c r="J95" s="37" t="s">
        <v>509</v>
      </c>
      <c r="K95" s="37" t="s">
        <v>575</v>
      </c>
      <c r="L95" s="37">
        <v>1</v>
      </c>
      <c r="M95" s="37">
        <f>L95*5</f>
        <v>5</v>
      </c>
      <c r="N95" s="37">
        <v>10</v>
      </c>
      <c r="O95" s="63" t="s">
        <v>600</v>
      </c>
      <c r="P95" s="38">
        <v>7.4800000000000005E-2</v>
      </c>
      <c r="Q95" s="38">
        <f>P95*N95</f>
        <v>0.748</v>
      </c>
      <c r="R95" s="37"/>
      <c r="S95" s="59"/>
    </row>
    <row r="96" spans="1:19" x14ac:dyDescent="0.25">
      <c r="A96" s="1"/>
      <c r="B96" s="47">
        <f t="shared" si="0"/>
        <v>87</v>
      </c>
      <c r="C96" s="54" t="s">
        <v>27</v>
      </c>
      <c r="D96" s="51" t="s">
        <v>116</v>
      </c>
      <c r="E96" s="51" t="s">
        <v>224</v>
      </c>
      <c r="F96" s="51" t="s">
        <v>283</v>
      </c>
      <c r="G96" s="51" t="s">
        <v>377</v>
      </c>
      <c r="H96" s="51" t="s">
        <v>398</v>
      </c>
      <c r="I96" s="51"/>
      <c r="J96" s="51" t="s">
        <v>510</v>
      </c>
      <c r="K96" s="51" t="s">
        <v>576</v>
      </c>
      <c r="L96" s="51">
        <v>1</v>
      </c>
      <c r="M96" s="51">
        <f t="shared" ref="M96" si="81">L96*5</f>
        <v>5</v>
      </c>
      <c r="N96" s="51">
        <v>100</v>
      </c>
      <c r="O96" s="63" t="s">
        <v>600</v>
      </c>
      <c r="P96" s="52">
        <v>3.8999999999999998E-3</v>
      </c>
      <c r="Q96" s="52">
        <f t="shared" ref="Q96" si="82">P96*N96</f>
        <v>0.38999999999999996</v>
      </c>
      <c r="R96" s="51"/>
      <c r="S96" s="59"/>
    </row>
    <row r="97" spans="1:27" x14ac:dyDescent="0.25">
      <c r="A97" s="1"/>
      <c r="B97" s="46">
        <f>ROW(B97) - ROW($B$9)</f>
        <v>88</v>
      </c>
      <c r="C97" s="53" t="s">
        <v>27</v>
      </c>
      <c r="D97" s="37" t="s">
        <v>117</v>
      </c>
      <c r="E97" s="37" t="s">
        <v>225</v>
      </c>
      <c r="F97" s="37" t="s">
        <v>283</v>
      </c>
      <c r="G97" s="37" t="s">
        <v>378</v>
      </c>
      <c r="H97" s="37" t="s">
        <v>398</v>
      </c>
      <c r="I97" s="37"/>
      <c r="J97" s="37" t="s">
        <v>511</v>
      </c>
      <c r="K97" s="37" t="s">
        <v>577</v>
      </c>
      <c r="L97" s="37">
        <v>4</v>
      </c>
      <c r="M97" s="37">
        <f>L97*5</f>
        <v>20</v>
      </c>
      <c r="N97" s="37">
        <v>100</v>
      </c>
      <c r="O97" s="63" t="s">
        <v>600</v>
      </c>
      <c r="P97" s="38">
        <v>1.1999999999999999E-3</v>
      </c>
      <c r="Q97" s="38">
        <f>P97*N97</f>
        <v>0.12</v>
      </c>
      <c r="R97" s="37"/>
      <c r="S97" s="59"/>
    </row>
    <row r="98" spans="1:27" x14ac:dyDescent="0.25">
      <c r="A98" s="1"/>
      <c r="B98" s="47">
        <f t="shared" si="0"/>
        <v>89</v>
      </c>
      <c r="C98" s="54" t="s">
        <v>27</v>
      </c>
      <c r="D98" s="51" t="s">
        <v>118</v>
      </c>
      <c r="E98" s="51" t="s">
        <v>226</v>
      </c>
      <c r="F98" s="51" t="s">
        <v>283</v>
      </c>
      <c r="G98" s="51" t="s">
        <v>379</v>
      </c>
      <c r="H98" s="51" t="s">
        <v>426</v>
      </c>
      <c r="I98" s="51"/>
      <c r="J98" s="51" t="s">
        <v>512</v>
      </c>
      <c r="K98" s="51" t="s">
        <v>578</v>
      </c>
      <c r="L98" s="51">
        <v>1</v>
      </c>
      <c r="M98" s="51">
        <f t="shared" ref="M98" si="83">L98*5</f>
        <v>5</v>
      </c>
      <c r="N98" s="51">
        <v>20</v>
      </c>
      <c r="O98" s="63" t="s">
        <v>600</v>
      </c>
      <c r="P98" s="52">
        <v>2.3900000000000001E-2</v>
      </c>
      <c r="Q98" s="52">
        <f t="shared" ref="Q98" si="84">P98*N98</f>
        <v>0.47800000000000004</v>
      </c>
      <c r="R98" s="51"/>
      <c r="S98" s="59"/>
    </row>
    <row r="99" spans="1:27" x14ac:dyDescent="0.25">
      <c r="A99" s="1"/>
      <c r="B99" s="46">
        <f>ROW(B99) - ROW($B$9)</f>
        <v>90</v>
      </c>
      <c r="C99" s="53" t="s">
        <v>27</v>
      </c>
      <c r="D99" s="37" t="s">
        <v>119</v>
      </c>
      <c r="E99" s="37" t="s">
        <v>227</v>
      </c>
      <c r="F99" s="37" t="s">
        <v>283</v>
      </c>
      <c r="G99" s="37" t="s">
        <v>380</v>
      </c>
      <c r="H99" s="37" t="s">
        <v>426</v>
      </c>
      <c r="I99" s="37"/>
      <c r="J99" s="37" t="s">
        <v>513</v>
      </c>
      <c r="K99" s="37" t="s">
        <v>579</v>
      </c>
      <c r="L99" s="37">
        <v>1</v>
      </c>
      <c r="M99" s="37">
        <f>L99*5</f>
        <v>5</v>
      </c>
      <c r="N99" s="37">
        <v>20</v>
      </c>
      <c r="O99" s="63" t="s">
        <v>600</v>
      </c>
      <c r="P99" s="38">
        <v>2.3300000000000001E-2</v>
      </c>
      <c r="Q99" s="38">
        <f>P99*N99</f>
        <v>0.46600000000000003</v>
      </c>
      <c r="R99" s="37"/>
      <c r="S99" s="59"/>
    </row>
    <row r="100" spans="1:27" x14ac:dyDescent="0.25">
      <c r="A100" s="1"/>
      <c r="B100" s="47">
        <f t="shared" si="0"/>
        <v>91</v>
      </c>
      <c r="C100" s="53" t="s">
        <v>27</v>
      </c>
      <c r="D100" s="51" t="s">
        <v>120</v>
      </c>
      <c r="E100" s="51" t="s">
        <v>228</v>
      </c>
      <c r="F100" s="51" t="s">
        <v>283</v>
      </c>
      <c r="G100" s="51" t="s">
        <v>381</v>
      </c>
      <c r="H100" s="51" t="s">
        <v>398</v>
      </c>
      <c r="I100" s="51"/>
      <c r="J100" s="51" t="s">
        <v>514</v>
      </c>
      <c r="K100" s="51" t="s">
        <v>580</v>
      </c>
      <c r="L100" s="51">
        <v>1</v>
      </c>
      <c r="M100" s="51">
        <f t="shared" ref="M100" si="85">L100*5</f>
        <v>5</v>
      </c>
      <c r="N100" s="51">
        <v>100</v>
      </c>
      <c r="O100" s="63" t="s">
        <v>600</v>
      </c>
      <c r="P100" s="52">
        <v>1.2999999999999999E-3</v>
      </c>
      <c r="Q100" s="52">
        <f t="shared" ref="Q100" si="86">P100*N100</f>
        <v>0.13</v>
      </c>
      <c r="R100" s="51"/>
      <c r="S100" s="59"/>
    </row>
    <row r="101" spans="1:27" x14ac:dyDescent="0.25">
      <c r="A101" s="1"/>
      <c r="B101" s="46">
        <f>ROW(B101) - ROW($B$9)</f>
        <v>92</v>
      </c>
      <c r="C101" s="53" t="s">
        <v>28</v>
      </c>
      <c r="D101" s="37" t="s">
        <v>121</v>
      </c>
      <c r="E101" s="37" t="s">
        <v>229</v>
      </c>
      <c r="F101" s="51" t="s">
        <v>595</v>
      </c>
      <c r="G101" s="37" t="s">
        <v>286</v>
      </c>
      <c r="H101" s="37" t="s">
        <v>398</v>
      </c>
      <c r="I101" s="37"/>
      <c r="J101" s="37" t="s">
        <v>515</v>
      </c>
      <c r="K101" s="64" t="s">
        <v>559</v>
      </c>
      <c r="L101" s="37">
        <v>3</v>
      </c>
      <c r="M101" s="37">
        <f>L101*5</f>
        <v>15</v>
      </c>
      <c r="N101" s="37">
        <v>50</v>
      </c>
      <c r="O101" s="63" t="s">
        <v>600</v>
      </c>
      <c r="P101" s="38">
        <v>8.6999999999999994E-3</v>
      </c>
      <c r="Q101" s="38">
        <f>P101*N101</f>
        <v>0.43499999999999994</v>
      </c>
      <c r="R101" s="37"/>
      <c r="S101" s="59"/>
    </row>
    <row r="102" spans="1:27" x14ac:dyDescent="0.25">
      <c r="A102" s="1"/>
      <c r="B102" s="47">
        <f t="shared" si="0"/>
        <v>93</v>
      </c>
      <c r="C102" s="54" t="s">
        <v>29</v>
      </c>
      <c r="D102" s="68" t="s">
        <v>625</v>
      </c>
      <c r="E102" s="68" t="s">
        <v>230</v>
      </c>
      <c r="F102" s="68" t="s">
        <v>595</v>
      </c>
      <c r="G102" s="68" t="s">
        <v>287</v>
      </c>
      <c r="H102" s="68" t="s">
        <v>601</v>
      </c>
      <c r="I102" s="68" t="s">
        <v>601</v>
      </c>
      <c r="J102" s="68" t="s">
        <v>601</v>
      </c>
      <c r="K102" s="68" t="s">
        <v>601</v>
      </c>
      <c r="L102" s="68">
        <v>4</v>
      </c>
      <c r="M102" s="68">
        <f t="shared" ref="M102" si="87">L102*5</f>
        <v>20</v>
      </c>
      <c r="N102" s="68" t="s">
        <v>601</v>
      </c>
      <c r="O102" s="68" t="s">
        <v>601</v>
      </c>
      <c r="P102" s="68" t="s">
        <v>601</v>
      </c>
      <c r="Q102" s="68" t="s">
        <v>601</v>
      </c>
      <c r="R102" s="68"/>
      <c r="S102" s="69"/>
    </row>
    <row r="103" spans="1:27" ht="36" x14ac:dyDescent="0.25">
      <c r="A103" s="1"/>
      <c r="B103" s="46">
        <f>ROW(B103) - ROW($B$9)</f>
        <v>94</v>
      </c>
      <c r="C103" s="53" t="s">
        <v>30</v>
      </c>
      <c r="D103" s="64" t="s">
        <v>122</v>
      </c>
      <c r="E103" s="37" t="s">
        <v>660</v>
      </c>
      <c r="F103" s="37" t="s">
        <v>595</v>
      </c>
      <c r="G103" s="37" t="s">
        <v>653</v>
      </c>
      <c r="H103" s="37" t="s">
        <v>661</v>
      </c>
      <c r="I103" s="37" t="s">
        <v>601</v>
      </c>
      <c r="J103" s="37" t="s">
        <v>662</v>
      </c>
      <c r="K103" s="37" t="s">
        <v>601</v>
      </c>
      <c r="L103" s="37">
        <v>1</v>
      </c>
      <c r="M103" s="37">
        <f>L103*5</f>
        <v>5</v>
      </c>
      <c r="N103" s="37">
        <v>10</v>
      </c>
      <c r="O103" s="63" t="s">
        <v>600</v>
      </c>
      <c r="P103" s="38">
        <v>5.5500000000000001E-2</v>
      </c>
      <c r="Q103" s="38">
        <f>P103*N103</f>
        <v>0.55500000000000005</v>
      </c>
      <c r="R103" s="37"/>
      <c r="S103" s="59"/>
    </row>
    <row r="104" spans="1:27" ht="36" x14ac:dyDescent="0.25">
      <c r="A104" s="1"/>
      <c r="B104" s="47">
        <f t="shared" si="0"/>
        <v>95</v>
      </c>
      <c r="C104" s="54" t="s">
        <v>30</v>
      </c>
      <c r="D104" s="66" t="s">
        <v>123</v>
      </c>
      <c r="E104" s="51" t="s">
        <v>663</v>
      </c>
      <c r="F104" s="51" t="s">
        <v>595</v>
      </c>
      <c r="G104" s="51" t="s">
        <v>654</v>
      </c>
      <c r="H104" s="51" t="s">
        <v>664</v>
      </c>
      <c r="I104" s="51"/>
      <c r="J104" s="51" t="s">
        <v>665</v>
      </c>
      <c r="K104" s="51" t="s">
        <v>601</v>
      </c>
      <c r="L104" s="51">
        <v>1</v>
      </c>
      <c r="M104" s="51">
        <f t="shared" ref="M104" si="88">L104*5</f>
        <v>5</v>
      </c>
      <c r="N104" s="51">
        <v>10</v>
      </c>
      <c r="O104" s="63" t="s">
        <v>600</v>
      </c>
      <c r="P104" s="52">
        <v>6.2399999999999997E-2</v>
      </c>
      <c r="Q104" s="52">
        <f t="shared" ref="Q104" si="89">P104*N104</f>
        <v>0.624</v>
      </c>
      <c r="R104" s="51"/>
      <c r="S104" s="59"/>
    </row>
    <row r="105" spans="1:27" ht="24" x14ac:dyDescent="0.25">
      <c r="A105" s="1"/>
      <c r="B105" s="46">
        <f>ROW(B105) - ROW($B$9)</f>
        <v>96</v>
      </c>
      <c r="C105" s="53" t="s">
        <v>612</v>
      </c>
      <c r="D105" s="64" t="s">
        <v>613</v>
      </c>
      <c r="E105" s="37" t="s">
        <v>614</v>
      </c>
      <c r="F105" s="37" t="s">
        <v>615</v>
      </c>
      <c r="G105" s="37" t="s">
        <v>615</v>
      </c>
      <c r="H105" s="37" t="s">
        <v>616</v>
      </c>
      <c r="I105" s="37" t="s">
        <v>601</v>
      </c>
      <c r="J105" s="37" t="s">
        <v>617</v>
      </c>
      <c r="K105" s="37" t="s">
        <v>601</v>
      </c>
      <c r="L105" s="37">
        <v>1</v>
      </c>
      <c r="M105" s="37">
        <f>L105*5</f>
        <v>5</v>
      </c>
      <c r="N105" s="37">
        <v>6</v>
      </c>
      <c r="O105" s="63" t="s">
        <v>600</v>
      </c>
      <c r="P105" s="38">
        <v>0.2354</v>
      </c>
      <c r="Q105" s="38">
        <f>P105*N105</f>
        <v>1.4123999999999999</v>
      </c>
      <c r="R105" s="37"/>
      <c r="S105" s="59"/>
    </row>
    <row r="106" spans="1:27" ht="48" x14ac:dyDescent="0.25">
      <c r="A106" s="1"/>
      <c r="B106" s="47">
        <f t="shared" si="0"/>
        <v>97</v>
      </c>
      <c r="C106" s="54" t="s">
        <v>31</v>
      </c>
      <c r="D106" s="51" t="s">
        <v>124</v>
      </c>
      <c r="E106" s="51" t="s">
        <v>232</v>
      </c>
      <c r="F106" s="51" t="s">
        <v>289</v>
      </c>
      <c r="G106" s="51" t="s">
        <v>382</v>
      </c>
      <c r="H106" s="51" t="s">
        <v>427</v>
      </c>
      <c r="I106" s="51"/>
      <c r="J106" s="51" t="s">
        <v>516</v>
      </c>
      <c r="K106" s="51" t="s">
        <v>601</v>
      </c>
      <c r="L106" s="51">
        <v>1</v>
      </c>
      <c r="M106" s="51">
        <f t="shared" ref="M106" si="90">L106*5</f>
        <v>5</v>
      </c>
      <c r="N106" s="51">
        <v>10</v>
      </c>
      <c r="O106" s="63" t="s">
        <v>600</v>
      </c>
      <c r="P106" s="52">
        <v>8.9099999999999999E-2</v>
      </c>
      <c r="Q106" s="52">
        <f t="shared" ref="Q106" si="91">P106*N106</f>
        <v>0.89100000000000001</v>
      </c>
      <c r="R106" s="51"/>
      <c r="S106" s="59"/>
    </row>
    <row r="107" spans="1:27" ht="48" x14ac:dyDescent="0.25">
      <c r="A107" s="1"/>
      <c r="B107" s="46">
        <f>ROW(B107) - ROW($B$9)</f>
        <v>98</v>
      </c>
      <c r="C107" s="53" t="s">
        <v>31</v>
      </c>
      <c r="D107" s="37" t="s">
        <v>125</v>
      </c>
      <c r="E107" s="37" t="s">
        <v>233</v>
      </c>
      <c r="F107" s="37" t="s">
        <v>289</v>
      </c>
      <c r="G107" s="37" t="s">
        <v>383</v>
      </c>
      <c r="H107" s="37" t="s">
        <v>427</v>
      </c>
      <c r="I107" s="37"/>
      <c r="J107" s="37" t="s">
        <v>517</v>
      </c>
      <c r="K107" s="37"/>
      <c r="L107" s="37">
        <v>1</v>
      </c>
      <c r="M107" s="37">
        <f>L107*5</f>
        <v>5</v>
      </c>
      <c r="N107" s="37">
        <v>10</v>
      </c>
      <c r="O107" s="63" t="s">
        <v>600</v>
      </c>
      <c r="P107" s="38">
        <v>0.1041</v>
      </c>
      <c r="Q107" s="38">
        <f>P107*N107</f>
        <v>1.0409999999999999</v>
      </c>
      <c r="R107" s="37"/>
      <c r="S107" s="59"/>
    </row>
    <row r="108" spans="1:27" ht="36" x14ac:dyDescent="0.25">
      <c r="A108" s="1"/>
      <c r="B108" s="47">
        <f t="shared" si="0"/>
        <v>99</v>
      </c>
      <c r="C108" s="54" t="s">
        <v>31</v>
      </c>
      <c r="D108" s="51" t="s">
        <v>126</v>
      </c>
      <c r="E108" s="51" t="s">
        <v>234</v>
      </c>
      <c r="F108" s="51" t="s">
        <v>290</v>
      </c>
      <c r="G108" s="51" t="s">
        <v>384</v>
      </c>
      <c r="H108" s="51" t="s">
        <v>428</v>
      </c>
      <c r="I108" s="51"/>
      <c r="J108" s="51" t="s">
        <v>518</v>
      </c>
      <c r="K108" s="51"/>
      <c r="L108" s="51">
        <v>1</v>
      </c>
      <c r="M108" s="51">
        <f t="shared" ref="M108" si="92">L108*5</f>
        <v>5</v>
      </c>
      <c r="N108" s="51">
        <v>10</v>
      </c>
      <c r="O108" s="63" t="s">
        <v>600</v>
      </c>
      <c r="P108" s="52">
        <v>7.2400000000000006E-2</v>
      </c>
      <c r="Q108" s="52">
        <f t="shared" ref="Q108" si="93">P108*N108</f>
        <v>0.72400000000000009</v>
      </c>
      <c r="R108" s="51"/>
      <c r="S108" s="59"/>
    </row>
    <row r="109" spans="1:27" x14ac:dyDescent="0.25">
      <c r="A109" s="1"/>
      <c r="B109" s="46">
        <f>ROW(B109) - ROW($B$9)</f>
        <v>100</v>
      </c>
      <c r="C109" s="53" t="s">
        <v>26</v>
      </c>
      <c r="D109" s="37" t="s">
        <v>127</v>
      </c>
      <c r="E109" s="37" t="s">
        <v>235</v>
      </c>
      <c r="F109" s="37" t="s">
        <v>291</v>
      </c>
      <c r="G109" s="37" t="s">
        <v>385</v>
      </c>
      <c r="H109" s="37" t="s">
        <v>429</v>
      </c>
      <c r="I109" s="37"/>
      <c r="J109" s="37" t="s">
        <v>519</v>
      </c>
      <c r="K109" s="37"/>
      <c r="L109" s="37">
        <v>1</v>
      </c>
      <c r="M109" s="37">
        <f>L109*5</f>
        <v>5</v>
      </c>
      <c r="N109" s="37">
        <v>10</v>
      </c>
      <c r="O109" s="63" t="s">
        <v>600</v>
      </c>
      <c r="P109" s="38">
        <v>0.17230000000000001</v>
      </c>
      <c r="Q109" s="38">
        <f>P109*N109</f>
        <v>1.7230000000000001</v>
      </c>
      <c r="R109" s="37"/>
      <c r="S109" s="59"/>
    </row>
    <row r="110" spans="1:27" ht="30" x14ac:dyDescent="0.25">
      <c r="A110" s="1"/>
      <c r="B110" s="47">
        <f t="shared" si="0"/>
        <v>101</v>
      </c>
      <c r="C110" s="54" t="s">
        <v>31</v>
      </c>
      <c r="D110" s="51" t="s">
        <v>128</v>
      </c>
      <c r="E110" s="51" t="s">
        <v>236</v>
      </c>
      <c r="F110" s="51" t="s">
        <v>292</v>
      </c>
      <c r="G110" s="51" t="s">
        <v>386</v>
      </c>
      <c r="H110" s="51" t="s">
        <v>430</v>
      </c>
      <c r="I110" s="51"/>
      <c r="J110" s="51" t="s">
        <v>601</v>
      </c>
      <c r="K110" s="51"/>
      <c r="L110" s="51">
        <v>1</v>
      </c>
      <c r="M110" s="51">
        <f t="shared" ref="M110" si="94">L110*5</f>
        <v>5</v>
      </c>
      <c r="N110" s="51">
        <v>6</v>
      </c>
      <c r="O110" s="63" t="s">
        <v>638</v>
      </c>
      <c r="P110" s="52">
        <v>31.28</v>
      </c>
      <c r="Q110" s="52">
        <f t="shared" ref="Q110" si="95">P110*N110</f>
        <v>187.68</v>
      </c>
      <c r="R110" s="51"/>
      <c r="S110" s="59"/>
    </row>
    <row r="111" spans="1:27" ht="36" x14ac:dyDescent="0.25">
      <c r="A111" s="1"/>
      <c r="B111" s="46">
        <f>ROW(B111) - ROW($B$9)</f>
        <v>102</v>
      </c>
      <c r="C111" s="53" t="s">
        <v>31</v>
      </c>
      <c r="D111" s="37" t="s">
        <v>129</v>
      </c>
      <c r="E111" s="37" t="s">
        <v>237</v>
      </c>
      <c r="F111" s="37" t="s">
        <v>293</v>
      </c>
      <c r="G111" s="37" t="s">
        <v>387</v>
      </c>
      <c r="H111" s="37" t="s">
        <v>431</v>
      </c>
      <c r="I111" s="37"/>
      <c r="J111" s="37" t="s">
        <v>520</v>
      </c>
      <c r="K111" s="37"/>
      <c r="L111" s="37">
        <v>1</v>
      </c>
      <c r="M111" s="37">
        <f>L111*5</f>
        <v>5</v>
      </c>
      <c r="N111" s="37">
        <v>10</v>
      </c>
      <c r="O111" s="63" t="s">
        <v>600</v>
      </c>
      <c r="P111" s="38">
        <v>8.5500000000000007E-2</v>
      </c>
      <c r="Q111" s="38">
        <f>P111*N111</f>
        <v>0.85500000000000009</v>
      </c>
      <c r="R111" s="37"/>
      <c r="S111" s="59"/>
    </row>
    <row r="112" spans="1:27" s="62" customFormat="1" ht="30" x14ac:dyDescent="0.25">
      <c r="A112" s="60"/>
      <c r="B112" s="47">
        <f t="shared" si="0"/>
        <v>103</v>
      </c>
      <c r="C112" s="54" t="s">
        <v>32</v>
      </c>
      <c r="D112" s="51" t="s">
        <v>130</v>
      </c>
      <c r="E112" s="51" t="s">
        <v>238</v>
      </c>
      <c r="F112" s="51" t="s">
        <v>595</v>
      </c>
      <c r="G112" s="51" t="s">
        <v>294</v>
      </c>
      <c r="H112" s="51" t="s">
        <v>432</v>
      </c>
      <c r="I112" s="51"/>
      <c r="J112" s="51" t="s">
        <v>601</v>
      </c>
      <c r="K112" s="51"/>
      <c r="L112" s="51">
        <v>1</v>
      </c>
      <c r="M112" s="51">
        <f t="shared" ref="M112" si="96">L112*5</f>
        <v>5</v>
      </c>
      <c r="N112" s="51">
        <v>6</v>
      </c>
      <c r="O112" s="63" t="s">
        <v>638</v>
      </c>
      <c r="P112" s="52">
        <v>6.7164999999999999</v>
      </c>
      <c r="Q112" s="52">
        <f t="shared" ref="Q112" si="97">P112*N112</f>
        <v>40.298999999999999</v>
      </c>
      <c r="R112" s="51"/>
      <c r="S112" s="59"/>
      <c r="U112"/>
      <c r="V112"/>
      <c r="W112"/>
      <c r="X112"/>
      <c r="Y112"/>
      <c r="Z112"/>
      <c r="AA112"/>
    </row>
    <row r="113" spans="1:19" ht="36" x14ac:dyDescent="0.25">
      <c r="A113" s="1"/>
      <c r="B113" s="46">
        <f>ROW(B113) - ROW($B$9)</f>
        <v>104</v>
      </c>
      <c r="C113" s="53" t="s">
        <v>33</v>
      </c>
      <c r="D113" s="37" t="s">
        <v>131</v>
      </c>
      <c r="E113" s="37" t="s">
        <v>239</v>
      </c>
      <c r="F113" s="51" t="s">
        <v>595</v>
      </c>
      <c r="G113" s="37" t="s">
        <v>295</v>
      </c>
      <c r="H113" s="37" t="s">
        <v>433</v>
      </c>
      <c r="I113" s="37" t="s">
        <v>601</v>
      </c>
      <c r="J113" s="37" t="s">
        <v>601</v>
      </c>
      <c r="K113" s="37" t="s">
        <v>601</v>
      </c>
      <c r="L113" s="37">
        <v>1</v>
      </c>
      <c r="M113" s="37">
        <f>L113*5</f>
        <v>5</v>
      </c>
      <c r="N113" s="37">
        <v>6</v>
      </c>
      <c r="O113" s="63" t="s">
        <v>638</v>
      </c>
      <c r="P113" s="38">
        <v>10.1</v>
      </c>
      <c r="Q113" s="38">
        <f>P113*N113</f>
        <v>60.599999999999994</v>
      </c>
      <c r="R113" s="65"/>
      <c r="S113" s="59"/>
    </row>
    <row r="114" spans="1:19" x14ac:dyDescent="0.25">
      <c r="A114" s="1"/>
      <c r="B114" s="47">
        <f t="shared" si="0"/>
        <v>105</v>
      </c>
      <c r="C114" s="54" t="s">
        <v>34</v>
      </c>
      <c r="D114" s="51" t="s">
        <v>132</v>
      </c>
      <c r="E114" s="51" t="s">
        <v>240</v>
      </c>
      <c r="F114" s="51" t="s">
        <v>595</v>
      </c>
      <c r="G114" s="51" t="s">
        <v>296</v>
      </c>
      <c r="H114" s="51" t="s">
        <v>434</v>
      </c>
      <c r="I114" s="51"/>
      <c r="J114" s="51" t="s">
        <v>521</v>
      </c>
      <c r="K114" s="51"/>
      <c r="L114" s="51">
        <v>1</v>
      </c>
      <c r="M114" s="51">
        <f t="shared" ref="M114" si="98">L114*5</f>
        <v>5</v>
      </c>
      <c r="N114" s="51">
        <v>6</v>
      </c>
      <c r="O114" s="63" t="s">
        <v>600</v>
      </c>
      <c r="P114" s="52">
        <v>6.6310000000000002</v>
      </c>
      <c r="Q114" s="52">
        <f t="shared" ref="Q114" si="99">P114*N114</f>
        <v>39.786000000000001</v>
      </c>
      <c r="R114" s="51"/>
      <c r="S114" s="59"/>
    </row>
    <row r="115" spans="1:19" x14ac:dyDescent="0.25">
      <c r="A115" s="1"/>
      <c r="B115" s="47">
        <f t="shared" si="0"/>
        <v>106</v>
      </c>
      <c r="C115" s="54" t="s">
        <v>31</v>
      </c>
      <c r="D115" s="51" t="s">
        <v>133</v>
      </c>
      <c r="E115" s="51" t="s">
        <v>241</v>
      </c>
      <c r="F115" s="51" t="s">
        <v>297</v>
      </c>
      <c r="G115" s="51" t="s">
        <v>388</v>
      </c>
      <c r="H115" s="51" t="s">
        <v>430</v>
      </c>
      <c r="I115" s="51" t="s">
        <v>601</v>
      </c>
      <c r="J115" s="51" t="s">
        <v>522</v>
      </c>
      <c r="K115" s="51"/>
      <c r="L115" s="51">
        <v>1</v>
      </c>
      <c r="M115" s="51">
        <f t="shared" ref="M115" si="100">L115*5</f>
        <v>5</v>
      </c>
      <c r="N115" s="51">
        <v>6</v>
      </c>
      <c r="O115" s="63" t="s">
        <v>600</v>
      </c>
      <c r="P115" s="52">
        <v>0.5696</v>
      </c>
      <c r="Q115" s="52">
        <f t="shared" ref="Q115" si="101">P115*N115</f>
        <v>3.4176000000000002</v>
      </c>
      <c r="R115" s="51"/>
      <c r="S115" s="59"/>
    </row>
    <row r="116" spans="1:19" x14ac:dyDescent="0.25">
      <c r="A116" s="1"/>
      <c r="B116" s="46">
        <f>ROW(B116) - ROW($B$9)</f>
        <v>107</v>
      </c>
      <c r="C116" s="53" t="s">
        <v>31</v>
      </c>
      <c r="D116" s="37" t="s">
        <v>134</v>
      </c>
      <c r="E116" s="37" t="s">
        <v>242</v>
      </c>
      <c r="F116" s="37" t="s">
        <v>298</v>
      </c>
      <c r="G116" s="37" t="s">
        <v>389</v>
      </c>
      <c r="H116" s="37" t="s">
        <v>435</v>
      </c>
      <c r="I116" s="37" t="s">
        <v>601</v>
      </c>
      <c r="J116" s="37" t="s">
        <v>523</v>
      </c>
      <c r="K116" s="37"/>
      <c r="L116" s="37">
        <v>1</v>
      </c>
      <c r="M116" s="37">
        <f>L116*5</f>
        <v>5</v>
      </c>
      <c r="N116" s="37">
        <v>6</v>
      </c>
      <c r="O116" s="63" t="s">
        <v>600</v>
      </c>
      <c r="P116" s="38">
        <v>0.35849999999999999</v>
      </c>
      <c r="Q116" s="38">
        <f>P116*N116</f>
        <v>2.1509999999999998</v>
      </c>
      <c r="R116" s="37"/>
      <c r="S116" s="59"/>
    </row>
    <row r="117" spans="1:19" x14ac:dyDescent="0.25">
      <c r="A117" s="1"/>
      <c r="B117" s="47">
        <f t="shared" si="0"/>
        <v>108</v>
      </c>
      <c r="C117" s="54" t="s">
        <v>31</v>
      </c>
      <c r="D117" s="51" t="s">
        <v>135</v>
      </c>
      <c r="E117" s="51" t="s">
        <v>243</v>
      </c>
      <c r="F117" s="51" t="s">
        <v>299</v>
      </c>
      <c r="G117" s="51" t="s">
        <v>390</v>
      </c>
      <c r="H117" s="51" t="s">
        <v>435</v>
      </c>
      <c r="I117" s="51" t="s">
        <v>601</v>
      </c>
      <c r="J117" s="51" t="s">
        <v>524</v>
      </c>
      <c r="K117" s="51"/>
      <c r="L117" s="51">
        <v>1</v>
      </c>
      <c r="M117" s="51">
        <f t="shared" ref="M117" si="102">L117*5</f>
        <v>5</v>
      </c>
      <c r="N117" s="51">
        <v>6</v>
      </c>
      <c r="O117" s="63" t="s">
        <v>600</v>
      </c>
      <c r="P117" s="52">
        <v>4.1794000000000002</v>
      </c>
      <c r="Q117" s="52">
        <f t="shared" ref="Q117" si="103">P117*N117</f>
        <v>25.0764</v>
      </c>
      <c r="R117" s="51"/>
      <c r="S117" s="59"/>
    </row>
    <row r="118" spans="1:19" x14ac:dyDescent="0.25">
      <c r="A118" s="1"/>
      <c r="B118" s="47">
        <f t="shared" si="0"/>
        <v>109</v>
      </c>
      <c r="C118" s="54" t="s">
        <v>35</v>
      </c>
      <c r="D118" s="51" t="s">
        <v>136</v>
      </c>
      <c r="E118" s="51" t="s">
        <v>244</v>
      </c>
      <c r="F118" s="51" t="s">
        <v>300</v>
      </c>
      <c r="G118" s="51" t="s">
        <v>391</v>
      </c>
      <c r="H118" s="51" t="s">
        <v>436</v>
      </c>
      <c r="I118" s="37" t="s">
        <v>601</v>
      </c>
      <c r="J118" s="51" t="s">
        <v>525</v>
      </c>
      <c r="K118" s="51"/>
      <c r="L118" s="51">
        <v>1</v>
      </c>
      <c r="M118" s="51">
        <f t="shared" ref="M118" si="104">L118*5</f>
        <v>5</v>
      </c>
      <c r="N118" s="51">
        <v>6</v>
      </c>
      <c r="O118" s="63" t="s">
        <v>600</v>
      </c>
      <c r="P118" s="52">
        <v>5.1132</v>
      </c>
      <c r="Q118" s="52">
        <f t="shared" ref="Q118" si="105">P118*N118</f>
        <v>30.679200000000002</v>
      </c>
      <c r="R118" s="51"/>
      <c r="S118" s="59"/>
    </row>
    <row r="119" spans="1:19" x14ac:dyDescent="0.25">
      <c r="A119" s="1"/>
      <c r="B119" s="46">
        <f>ROW(B119) - ROW($B$9)</f>
        <v>110</v>
      </c>
      <c r="C119" s="53" t="s">
        <v>31</v>
      </c>
      <c r="D119" s="37" t="s">
        <v>137</v>
      </c>
      <c r="E119" s="37" t="s">
        <v>245</v>
      </c>
      <c r="F119" s="37" t="s">
        <v>301</v>
      </c>
      <c r="G119" s="37" t="s">
        <v>392</v>
      </c>
      <c r="H119" s="37" t="s">
        <v>430</v>
      </c>
      <c r="I119" s="51" t="s">
        <v>601</v>
      </c>
      <c r="J119" s="37" t="s">
        <v>526</v>
      </c>
      <c r="K119" s="37"/>
      <c r="L119" s="37">
        <v>1</v>
      </c>
      <c r="M119" s="37">
        <f>L119*5</f>
        <v>5</v>
      </c>
      <c r="N119" s="37">
        <v>6</v>
      </c>
      <c r="O119" s="63" t="s">
        <v>600</v>
      </c>
      <c r="P119" s="38">
        <v>1.8374999999999999</v>
      </c>
      <c r="Q119" s="38">
        <f>P119*N119</f>
        <v>11.024999999999999</v>
      </c>
      <c r="R119" s="37"/>
      <c r="S119" s="59"/>
    </row>
    <row r="120" spans="1:19" x14ac:dyDescent="0.25">
      <c r="A120" s="1"/>
      <c r="B120" s="47">
        <f t="shared" si="0"/>
        <v>111</v>
      </c>
      <c r="C120" s="54" t="s">
        <v>31</v>
      </c>
      <c r="D120" s="66" t="s">
        <v>138</v>
      </c>
      <c r="E120" s="51" t="s">
        <v>639</v>
      </c>
      <c r="F120" s="51" t="s">
        <v>666</v>
      </c>
      <c r="G120" s="51" t="s">
        <v>640</v>
      </c>
      <c r="H120" s="51" t="s">
        <v>430</v>
      </c>
      <c r="I120" s="37" t="s">
        <v>601</v>
      </c>
      <c r="J120" s="51" t="s">
        <v>641</v>
      </c>
      <c r="K120" s="51"/>
      <c r="L120" s="51">
        <v>1</v>
      </c>
      <c r="M120" s="51">
        <f t="shared" ref="M120" si="106">L120*5</f>
        <v>5</v>
      </c>
      <c r="N120" s="51">
        <v>6</v>
      </c>
      <c r="O120" s="63" t="s">
        <v>600</v>
      </c>
      <c r="P120" s="52">
        <v>2.1238999999999999</v>
      </c>
      <c r="Q120" s="52">
        <f t="shared" ref="Q120" si="107">P120*N120</f>
        <v>12.743399999999999</v>
      </c>
      <c r="R120" s="51"/>
      <c r="S120" s="59"/>
    </row>
    <row r="121" spans="1:19" x14ac:dyDescent="0.25">
      <c r="A121" s="1"/>
      <c r="B121" s="46">
        <f>ROW(B121) - ROW($B$9)</f>
        <v>112</v>
      </c>
      <c r="C121" s="53" t="s">
        <v>36</v>
      </c>
      <c r="D121" s="37" t="s">
        <v>139</v>
      </c>
      <c r="E121" s="37" t="s">
        <v>246</v>
      </c>
      <c r="F121" s="37" t="s">
        <v>302</v>
      </c>
      <c r="G121" s="37" t="s">
        <v>393</v>
      </c>
      <c r="H121" s="37" t="s">
        <v>404</v>
      </c>
      <c r="I121" s="51" t="s">
        <v>601</v>
      </c>
      <c r="J121" s="37" t="s">
        <v>527</v>
      </c>
      <c r="K121" s="37"/>
      <c r="L121" s="37">
        <v>1</v>
      </c>
      <c r="M121" s="37">
        <f>L121*5</f>
        <v>5</v>
      </c>
      <c r="N121" s="37">
        <v>6</v>
      </c>
      <c r="O121" s="63" t="s">
        <v>600</v>
      </c>
      <c r="P121" s="38">
        <v>0.54790000000000005</v>
      </c>
      <c r="Q121" s="38">
        <f>P121*N121</f>
        <v>3.2874000000000003</v>
      </c>
      <c r="R121" s="37"/>
      <c r="S121" s="59"/>
    </row>
    <row r="122" spans="1:19" ht="24" x14ac:dyDescent="0.25">
      <c r="A122" s="1"/>
      <c r="B122" s="47">
        <f t="shared" si="0"/>
        <v>113</v>
      </c>
      <c r="C122" s="54" t="s">
        <v>31</v>
      </c>
      <c r="D122" s="51" t="s">
        <v>140</v>
      </c>
      <c r="E122" s="51" t="s">
        <v>247</v>
      </c>
      <c r="F122" s="51" t="s">
        <v>303</v>
      </c>
      <c r="G122" s="51" t="s">
        <v>394</v>
      </c>
      <c r="H122" s="51" t="s">
        <v>437</v>
      </c>
      <c r="I122" s="37" t="s">
        <v>601</v>
      </c>
      <c r="J122" s="51" t="s">
        <v>528</v>
      </c>
      <c r="K122" s="51"/>
      <c r="L122" s="51">
        <v>1</v>
      </c>
      <c r="M122" s="51">
        <f t="shared" ref="M122" si="108">L122*5</f>
        <v>5</v>
      </c>
      <c r="N122" s="51">
        <v>6</v>
      </c>
      <c r="O122" s="63" t="s">
        <v>600</v>
      </c>
      <c r="P122" s="52">
        <v>0.64910000000000001</v>
      </c>
      <c r="Q122" s="52">
        <f t="shared" ref="Q122" si="109">P122*N122</f>
        <v>3.8946000000000001</v>
      </c>
      <c r="R122" s="51"/>
      <c r="S122" s="59"/>
    </row>
    <row r="123" spans="1:19" x14ac:dyDescent="0.25">
      <c r="A123" s="1"/>
      <c r="B123" s="46">
        <f>ROW(B123) - ROW($B$9)</f>
        <v>114</v>
      </c>
      <c r="C123" s="53" t="s">
        <v>31</v>
      </c>
      <c r="D123" s="37" t="s">
        <v>141</v>
      </c>
      <c r="E123" s="37" t="s">
        <v>248</v>
      </c>
      <c r="F123" s="37" t="s">
        <v>304</v>
      </c>
      <c r="G123" s="37" t="s">
        <v>395</v>
      </c>
      <c r="H123" s="37" t="s">
        <v>438</v>
      </c>
      <c r="I123" s="37"/>
      <c r="J123" s="37" t="s">
        <v>529</v>
      </c>
      <c r="K123" s="37"/>
      <c r="L123" s="37">
        <v>1</v>
      </c>
      <c r="M123" s="37">
        <f>L123*5</f>
        <v>5</v>
      </c>
      <c r="N123" s="37">
        <v>6</v>
      </c>
      <c r="O123" s="63" t="s">
        <v>600</v>
      </c>
      <c r="P123" s="38">
        <v>2.5996000000000001</v>
      </c>
      <c r="Q123" s="38">
        <f>P123*N123</f>
        <v>15.5976</v>
      </c>
      <c r="R123" s="37"/>
      <c r="S123" s="59"/>
    </row>
    <row r="124" spans="1:19" ht="24" x14ac:dyDescent="0.25">
      <c r="A124" s="1"/>
      <c r="B124" s="47">
        <f t="shared" si="0"/>
        <v>115</v>
      </c>
      <c r="C124" s="53" t="s">
        <v>37</v>
      </c>
      <c r="D124" s="51" t="s">
        <v>142</v>
      </c>
      <c r="E124" s="51" t="s">
        <v>642</v>
      </c>
      <c r="F124" s="51" t="s">
        <v>595</v>
      </c>
      <c r="G124" s="51" t="s">
        <v>645</v>
      </c>
      <c r="H124" s="51" t="s">
        <v>644</v>
      </c>
      <c r="I124" s="51" t="s">
        <v>601</v>
      </c>
      <c r="J124" s="51" t="s">
        <v>643</v>
      </c>
      <c r="K124" s="51" t="s">
        <v>646</v>
      </c>
      <c r="L124" s="51">
        <v>1</v>
      </c>
      <c r="M124" s="51">
        <f t="shared" ref="M124" si="110">L124*5</f>
        <v>5</v>
      </c>
      <c r="N124" s="51">
        <v>10</v>
      </c>
      <c r="O124" s="63" t="s">
        <v>600</v>
      </c>
      <c r="P124" s="52">
        <v>0.26279999999999998</v>
      </c>
      <c r="Q124" s="52">
        <f t="shared" ref="Q124" si="111">P124*N124</f>
        <v>2.6279999999999997</v>
      </c>
      <c r="R124" s="51"/>
      <c r="S124" s="59"/>
    </row>
    <row r="125" spans="1:19" ht="24" x14ac:dyDescent="0.25">
      <c r="A125" s="1"/>
      <c r="B125" s="46">
        <f>ROW(B125) - ROW($B$9)</f>
        <v>116</v>
      </c>
      <c r="C125" s="53" t="s">
        <v>37</v>
      </c>
      <c r="D125" s="37" t="s">
        <v>143</v>
      </c>
      <c r="E125" s="37" t="s">
        <v>249</v>
      </c>
      <c r="F125" s="37" t="s">
        <v>305</v>
      </c>
      <c r="G125" s="37" t="s">
        <v>396</v>
      </c>
      <c r="H125" s="37" t="s">
        <v>439</v>
      </c>
      <c r="I125" s="37"/>
      <c r="J125" s="37" t="s">
        <v>530</v>
      </c>
      <c r="K125" s="37" t="s">
        <v>581</v>
      </c>
      <c r="L125" s="37">
        <v>1</v>
      </c>
      <c r="M125" s="37">
        <f>L125*5</f>
        <v>5</v>
      </c>
      <c r="N125" s="37">
        <v>10</v>
      </c>
      <c r="O125" s="63" t="s">
        <v>600</v>
      </c>
      <c r="P125" s="38">
        <v>0.18029999999999999</v>
      </c>
      <c r="Q125" s="38">
        <f>P125*N125</f>
        <v>1.8029999999999999</v>
      </c>
      <c r="R125" s="37"/>
      <c r="S125" s="59"/>
    </row>
    <row r="126" spans="1:19" ht="15.75" thickBot="1" x14ac:dyDescent="0.3">
      <c r="A126" s="1"/>
      <c r="B126" s="47">
        <f t="shared" si="0"/>
        <v>117</v>
      </c>
      <c r="C126" s="54" t="s">
        <v>37</v>
      </c>
      <c r="D126" s="51" t="s">
        <v>144</v>
      </c>
      <c r="E126" s="51" t="s">
        <v>250</v>
      </c>
      <c r="F126" s="51" t="s">
        <v>595</v>
      </c>
      <c r="G126" s="51" t="s">
        <v>306</v>
      </c>
      <c r="H126" s="51" t="s">
        <v>440</v>
      </c>
      <c r="I126" s="51"/>
      <c r="J126" s="51" t="s">
        <v>531</v>
      </c>
      <c r="K126" s="51" t="s">
        <v>582</v>
      </c>
      <c r="L126" s="51">
        <v>1</v>
      </c>
      <c r="M126" s="51">
        <f t="shared" ref="M126:M129" si="112">L126*5</f>
        <v>5</v>
      </c>
      <c r="N126" s="51">
        <v>10</v>
      </c>
      <c r="O126" s="63" t="s">
        <v>600</v>
      </c>
      <c r="P126" s="52">
        <v>0.26590000000000003</v>
      </c>
      <c r="Q126" s="52">
        <f t="shared" ref="Q126:Q127" si="113">P126*N126</f>
        <v>2.6590000000000003</v>
      </c>
      <c r="R126" s="51"/>
      <c r="S126" s="39"/>
    </row>
    <row r="127" spans="1:19" ht="48.75" thickBot="1" x14ac:dyDescent="0.3">
      <c r="A127" s="1"/>
      <c r="B127" s="47">
        <f t="shared" si="0"/>
        <v>118</v>
      </c>
      <c r="C127" s="54" t="s">
        <v>630</v>
      </c>
      <c r="D127" s="51" t="s">
        <v>601</v>
      </c>
      <c r="E127" s="51" t="s">
        <v>667</v>
      </c>
      <c r="F127" s="51" t="s">
        <v>601</v>
      </c>
      <c r="G127" s="51" t="s">
        <v>631</v>
      </c>
      <c r="H127" s="51" t="s">
        <v>601</v>
      </c>
      <c r="I127" s="51" t="s">
        <v>601</v>
      </c>
      <c r="J127" s="51" t="s">
        <v>601</v>
      </c>
      <c r="K127" s="51" t="s">
        <v>601</v>
      </c>
      <c r="L127" s="51">
        <v>1</v>
      </c>
      <c r="M127" s="51">
        <f t="shared" si="112"/>
        <v>5</v>
      </c>
      <c r="N127" s="51">
        <v>8</v>
      </c>
      <c r="O127" s="63" t="s">
        <v>635</v>
      </c>
      <c r="P127" s="52">
        <v>2.5</v>
      </c>
      <c r="Q127" s="52">
        <f t="shared" si="113"/>
        <v>20</v>
      </c>
      <c r="R127" s="51"/>
      <c r="S127" s="39"/>
    </row>
    <row r="128" spans="1:19" ht="24.75" thickBot="1" x14ac:dyDescent="0.3">
      <c r="A128" s="1"/>
      <c r="B128" s="47">
        <f t="shared" ref="B128:B130" si="114">ROW(B128) - ROW($B$9)</f>
        <v>119</v>
      </c>
      <c r="C128" s="54" t="s">
        <v>630</v>
      </c>
      <c r="D128" s="51" t="s">
        <v>601</v>
      </c>
      <c r="E128" s="51" t="s">
        <v>634</v>
      </c>
      <c r="F128" s="51" t="s">
        <v>601</v>
      </c>
      <c r="G128" s="51" t="s">
        <v>632</v>
      </c>
      <c r="H128" s="51" t="s">
        <v>601</v>
      </c>
      <c r="I128" s="51" t="s">
        <v>601</v>
      </c>
      <c r="J128" s="51" t="s">
        <v>601</v>
      </c>
      <c r="K128" s="51" t="s">
        <v>601</v>
      </c>
      <c r="L128" s="51">
        <v>1</v>
      </c>
      <c r="M128" s="51">
        <f t="shared" si="112"/>
        <v>5</v>
      </c>
      <c r="N128" s="51">
        <v>6</v>
      </c>
      <c r="O128" s="63"/>
      <c r="P128" s="52"/>
      <c r="Q128" s="52"/>
      <c r="R128" s="67" t="s">
        <v>668</v>
      </c>
      <c r="S128" s="39"/>
    </row>
    <row r="129" spans="1:19" ht="24.75" thickBot="1" x14ac:dyDescent="0.3">
      <c r="A129" s="1"/>
      <c r="B129" s="47">
        <f t="shared" si="114"/>
        <v>120</v>
      </c>
      <c r="C129" s="54" t="s">
        <v>630</v>
      </c>
      <c r="D129" s="51" t="s">
        <v>601</v>
      </c>
      <c r="E129" s="51" t="s">
        <v>634</v>
      </c>
      <c r="F129" s="51" t="s">
        <v>601</v>
      </c>
      <c r="G129" s="51" t="s">
        <v>633</v>
      </c>
      <c r="H129" s="51" t="s">
        <v>601</v>
      </c>
      <c r="I129" s="51" t="s">
        <v>601</v>
      </c>
      <c r="J129" s="51" t="s">
        <v>601</v>
      </c>
      <c r="K129" s="51" t="s">
        <v>601</v>
      </c>
      <c r="L129" s="51">
        <v>1</v>
      </c>
      <c r="M129" s="51">
        <f t="shared" si="112"/>
        <v>5</v>
      </c>
      <c r="N129" s="51">
        <v>6</v>
      </c>
      <c r="O129" s="63"/>
      <c r="P129" s="52"/>
      <c r="Q129" s="52"/>
      <c r="R129" s="67" t="s">
        <v>668</v>
      </c>
      <c r="S129" s="39"/>
    </row>
    <row r="130" spans="1:19" ht="15.75" thickBot="1" x14ac:dyDescent="0.3">
      <c r="A130" s="1"/>
      <c r="B130" s="47">
        <f t="shared" si="114"/>
        <v>121</v>
      </c>
      <c r="C130" s="54" t="s">
        <v>630</v>
      </c>
      <c r="D130" s="51" t="s">
        <v>601</v>
      </c>
      <c r="E130" s="51"/>
      <c r="F130" s="51" t="s">
        <v>601</v>
      </c>
      <c r="G130" s="51" t="s">
        <v>669</v>
      </c>
      <c r="H130" s="51" t="s">
        <v>601</v>
      </c>
      <c r="I130" s="51" t="s">
        <v>601</v>
      </c>
      <c r="J130" s="51" t="s">
        <v>601</v>
      </c>
      <c r="K130" s="51" t="s">
        <v>601</v>
      </c>
      <c r="L130" s="51">
        <v>1</v>
      </c>
      <c r="M130" s="51">
        <f t="shared" ref="M130" si="115">L130*5</f>
        <v>5</v>
      </c>
      <c r="N130" s="51">
        <v>6</v>
      </c>
      <c r="O130" s="63"/>
      <c r="P130" s="52"/>
      <c r="Q130" s="52"/>
      <c r="R130" s="67" t="s">
        <v>670</v>
      </c>
      <c r="S130" s="39"/>
    </row>
    <row r="131" spans="1:19" ht="19.5" thickBot="1" x14ac:dyDescent="0.3">
      <c r="A131" s="1"/>
      <c r="B131" s="40"/>
      <c r="C131" s="41"/>
      <c r="D131" s="42"/>
      <c r="E131" s="43"/>
      <c r="F131" s="44"/>
      <c r="G131" s="45"/>
      <c r="H131" s="44"/>
      <c r="I131" s="45"/>
      <c r="J131" s="44"/>
      <c r="K131" s="45"/>
      <c r="L131" s="45"/>
      <c r="M131" s="45"/>
      <c r="N131" s="79" t="s">
        <v>5</v>
      </c>
      <c r="O131" s="80"/>
      <c r="P131" s="80"/>
      <c r="Q131" s="48">
        <f>SUM(Q10:Q130)</f>
        <v>556.84979999999985</v>
      </c>
      <c r="R131" s="75"/>
      <c r="S131" s="76"/>
    </row>
    <row r="132" spans="1:19" ht="19.5" thickBot="1" x14ac:dyDescent="0.3">
      <c r="A132" s="1"/>
      <c r="B132" s="25"/>
      <c r="C132" s="36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79" t="s">
        <v>6</v>
      </c>
      <c r="O132" s="80"/>
      <c r="P132" s="80"/>
      <c r="Q132" s="49">
        <f>Q131/5</f>
        <v>111.36995999999996</v>
      </c>
      <c r="R132" s="77"/>
      <c r="S132" s="78"/>
    </row>
  </sheetData>
  <mergeCells count="5">
    <mergeCell ref="K1:S1"/>
    <mergeCell ref="S3:S8"/>
    <mergeCell ref="R131:S132"/>
    <mergeCell ref="N131:P131"/>
    <mergeCell ref="N132:P132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25" r:id="rId8"/>
    <hyperlink ref="O18" r:id="rId9"/>
    <hyperlink ref="O19" r:id="rId10"/>
    <hyperlink ref="O20" r:id="rId11"/>
    <hyperlink ref="O22" r:id="rId12"/>
    <hyperlink ref="O23" r:id="rId13"/>
    <hyperlink ref="O24" r:id="rId14"/>
    <hyperlink ref="O26" r:id="rId15"/>
    <hyperlink ref="O27" r:id="rId16"/>
    <hyperlink ref="O17" r:id="rId17"/>
    <hyperlink ref="O28" r:id="rId18"/>
    <hyperlink ref="O29" r:id="rId19"/>
    <hyperlink ref="O30" r:id="rId20"/>
    <hyperlink ref="O32" r:id="rId21"/>
    <hyperlink ref="O33" r:id="rId22"/>
    <hyperlink ref="O34" r:id="rId23"/>
    <hyperlink ref="O35" r:id="rId24"/>
    <hyperlink ref="O36" r:id="rId25"/>
    <hyperlink ref="O37" r:id="rId26"/>
    <hyperlink ref="O38" r:id="rId27"/>
    <hyperlink ref="O39" r:id="rId28"/>
    <hyperlink ref="O40" r:id="rId29"/>
    <hyperlink ref="O41" r:id="rId30"/>
    <hyperlink ref="O42" r:id="rId31"/>
    <hyperlink ref="O43" r:id="rId32"/>
    <hyperlink ref="O44" r:id="rId33"/>
    <hyperlink ref="O45" r:id="rId34"/>
    <hyperlink ref="O46" r:id="rId35"/>
    <hyperlink ref="O47" r:id="rId36"/>
    <hyperlink ref="O48" r:id="rId37"/>
    <hyperlink ref="O49" r:id="rId38"/>
    <hyperlink ref="O50" r:id="rId39"/>
    <hyperlink ref="O53" r:id="rId40"/>
    <hyperlink ref="O52" r:id="rId41"/>
    <hyperlink ref="O54" r:id="rId42"/>
    <hyperlink ref="O57" r:id="rId43"/>
    <hyperlink ref="O59" r:id="rId44"/>
    <hyperlink ref="O60" r:id="rId45"/>
    <hyperlink ref="O61" r:id="rId46"/>
    <hyperlink ref="O62" r:id="rId47"/>
    <hyperlink ref="O63" r:id="rId48"/>
    <hyperlink ref="O67" r:id="rId49"/>
    <hyperlink ref="O66" r:id="rId50"/>
    <hyperlink ref="O68" r:id="rId51"/>
    <hyperlink ref="O69" r:id="rId52"/>
    <hyperlink ref="O70" r:id="rId53"/>
    <hyperlink ref="O71" r:id="rId54"/>
    <hyperlink ref="O72" r:id="rId55"/>
    <hyperlink ref="O73" r:id="rId56"/>
    <hyperlink ref="O76" r:id="rId57"/>
    <hyperlink ref="O77" r:id="rId58"/>
    <hyperlink ref="O74" r:id="rId59"/>
    <hyperlink ref="O78" r:id="rId60"/>
    <hyperlink ref="O79" r:id="rId61"/>
    <hyperlink ref="O80" r:id="rId62"/>
    <hyperlink ref="O81" r:id="rId63"/>
    <hyperlink ref="O82" r:id="rId64"/>
    <hyperlink ref="O83" r:id="rId65"/>
    <hyperlink ref="O84" r:id="rId66"/>
    <hyperlink ref="O85" r:id="rId67"/>
    <hyperlink ref="O86" r:id="rId68"/>
    <hyperlink ref="O88" r:id="rId69"/>
    <hyperlink ref="O87" r:id="rId70"/>
    <hyperlink ref="O75" r:id="rId71"/>
    <hyperlink ref="O89" r:id="rId72"/>
    <hyperlink ref="O91" r:id="rId73"/>
    <hyperlink ref="O92" r:id="rId74"/>
    <hyperlink ref="O93" r:id="rId75"/>
    <hyperlink ref="O94" r:id="rId76"/>
    <hyperlink ref="O95" r:id="rId77"/>
    <hyperlink ref="O96" r:id="rId78"/>
    <hyperlink ref="O97" r:id="rId79"/>
    <hyperlink ref="O98" r:id="rId80"/>
    <hyperlink ref="O99" r:id="rId81"/>
    <hyperlink ref="O100" r:id="rId82"/>
    <hyperlink ref="O101" r:id="rId83"/>
    <hyperlink ref="O105" r:id="rId84"/>
    <hyperlink ref="O106" r:id="rId85"/>
    <hyperlink ref="O107" r:id="rId86"/>
    <hyperlink ref="O108" r:id="rId87"/>
    <hyperlink ref="O109" r:id="rId88"/>
    <hyperlink ref="O111" r:id="rId89"/>
    <hyperlink ref="O114" r:id="rId90"/>
    <hyperlink ref="O115" r:id="rId91"/>
    <hyperlink ref="O116" r:id="rId92"/>
    <hyperlink ref="O117" r:id="rId93"/>
    <hyperlink ref="O118" r:id="rId94"/>
    <hyperlink ref="O119" r:id="rId95"/>
    <hyperlink ref="O121" r:id="rId96"/>
    <hyperlink ref="O122" r:id="rId97"/>
    <hyperlink ref="O123" r:id="rId98"/>
    <hyperlink ref="O125" r:id="rId99"/>
    <hyperlink ref="O126" r:id="rId100"/>
    <hyperlink ref="O21" r:id="rId101"/>
    <hyperlink ref="O55" r:id="rId102"/>
    <hyperlink ref="O90" r:id="rId103"/>
    <hyperlink ref="O112" r:id="rId104"/>
    <hyperlink ref="O113" r:id="rId105"/>
    <hyperlink ref="O110" r:id="rId106"/>
    <hyperlink ref="O124" r:id="rId107"/>
    <hyperlink ref="O51" r:id="rId108"/>
    <hyperlink ref="O31" r:id="rId109"/>
    <hyperlink ref="O103" r:id="rId110"/>
    <hyperlink ref="O104" r:id="rId111"/>
    <hyperlink ref="O120" r:id="rId112"/>
    <hyperlink ref="O58" r:id="rId113"/>
    <hyperlink ref="O64" r:id="rId114"/>
    <hyperlink ref="O127" r:id="rId115"/>
  </hyperlinks>
  <pageMargins left="0.7" right="0.7" top="0.75" bottom="0.75" header="0.3" footer="0.3"/>
  <pageSetup paperSize="9" orientation="portrait" r:id="rId116"/>
  <drawing r:id="rId1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4"/>
  <sheetViews>
    <sheetView topLeftCell="A115" workbookViewId="0">
      <selection activeCell="D72" sqref="D72:D79"/>
    </sheetView>
  </sheetViews>
  <sheetFormatPr defaultRowHeight="15" x14ac:dyDescent="0.25"/>
  <cols>
    <col min="1" max="1" width="4.7109375" customWidth="1"/>
    <col min="2" max="2" width="4" bestFit="1" customWidth="1"/>
    <col min="3" max="3" width="11.5703125" customWidth="1"/>
    <col min="4" max="4" width="31.140625" bestFit="1" customWidth="1"/>
    <col min="5" max="5" width="32.140625" customWidth="1"/>
    <col min="6" max="6" width="15.140625" customWidth="1"/>
    <col min="7" max="7" width="25.28515625" bestFit="1" customWidth="1"/>
    <col min="8" max="8" width="16.85546875" customWidth="1"/>
    <col min="9" max="9" width="21.5703125" bestFit="1" customWidth="1"/>
    <col min="10" max="10" width="17" bestFit="1" customWidth="1"/>
    <col min="11" max="11" width="9.85546875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9.5703125" customWidth="1"/>
    <col min="16" max="16" width="19.7109375" bestFit="1" customWidth="1"/>
    <col min="17" max="17" width="20.28515625" bestFit="1" customWidth="1"/>
    <col min="18" max="18" width="15.85546875" customWidth="1"/>
    <col min="19" max="19" width="26.425781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1"/>
      <c r="L1" s="71"/>
      <c r="M1" s="71"/>
      <c r="N1" s="71"/>
      <c r="O1" s="71"/>
      <c r="P1" s="71"/>
      <c r="Q1" s="71"/>
      <c r="R1" s="71"/>
      <c r="S1" s="72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593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594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3"/>
    </row>
    <row r="4" spans="1:19" x14ac:dyDescent="0.25">
      <c r="A4" s="1"/>
      <c r="B4" s="22"/>
      <c r="C4" s="32"/>
      <c r="D4" s="13" t="s">
        <v>2</v>
      </c>
      <c r="E4" s="13"/>
      <c r="F4" s="57" t="s">
        <v>594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4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4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4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4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4"/>
    </row>
    <row r="9" spans="1:19" ht="15.75" thickBot="1" x14ac:dyDescent="0.3">
      <c r="A9" s="1"/>
      <c r="B9" s="30" t="s">
        <v>4</v>
      </c>
      <c r="C9" s="30" t="s">
        <v>8</v>
      </c>
      <c r="D9" s="30" t="s">
        <v>38</v>
      </c>
      <c r="E9" s="30" t="s">
        <v>145</v>
      </c>
      <c r="F9" s="30" t="s">
        <v>251</v>
      </c>
      <c r="G9" s="30" t="s">
        <v>307</v>
      </c>
      <c r="H9" s="30" t="s">
        <v>397</v>
      </c>
      <c r="I9" s="30" t="s">
        <v>584</v>
      </c>
      <c r="J9" s="30" t="s">
        <v>441</v>
      </c>
      <c r="K9" s="30" t="s">
        <v>592</v>
      </c>
      <c r="L9" s="30" t="s">
        <v>583</v>
      </c>
      <c r="M9" s="30" t="s">
        <v>596</v>
      </c>
      <c r="N9" s="30" t="s">
        <v>597</v>
      </c>
      <c r="O9" s="30" t="s">
        <v>587</v>
      </c>
      <c r="P9" s="30" t="s">
        <v>598</v>
      </c>
      <c r="Q9" s="30" t="s">
        <v>599</v>
      </c>
      <c r="R9" s="30" t="s">
        <v>590</v>
      </c>
      <c r="S9" s="30" t="s">
        <v>591</v>
      </c>
    </row>
    <row r="10" spans="1:19" s="62" customFormat="1" x14ac:dyDescent="0.25">
      <c r="A10" s="60"/>
      <c r="B10" s="46">
        <f>ROW(B10) - ROW($B$9)</f>
        <v>1</v>
      </c>
      <c r="C10" s="53" t="s">
        <v>9</v>
      </c>
      <c r="D10" s="37" t="s">
        <v>39</v>
      </c>
      <c r="E10" s="37" t="s">
        <v>146</v>
      </c>
      <c r="F10" s="37" t="s">
        <v>252</v>
      </c>
      <c r="G10" s="37" t="s">
        <v>308</v>
      </c>
      <c r="H10" s="37" t="s">
        <v>398</v>
      </c>
      <c r="I10" s="37" t="s">
        <v>601</v>
      </c>
      <c r="J10" s="37" t="s">
        <v>442</v>
      </c>
      <c r="K10" s="37" t="s">
        <v>532</v>
      </c>
      <c r="L10" s="37">
        <v>6</v>
      </c>
      <c r="M10" s="37">
        <f>L10*10</f>
        <v>60</v>
      </c>
      <c r="N10" s="37">
        <v>80</v>
      </c>
      <c r="O10" s="63" t="s">
        <v>600</v>
      </c>
      <c r="P10" s="38">
        <v>2.5999999999999999E-2</v>
      </c>
      <c r="Q10" s="38">
        <f>P10*N10</f>
        <v>2.08</v>
      </c>
      <c r="R10" s="37"/>
      <c r="S10" s="61"/>
    </row>
    <row r="11" spans="1:19" s="62" customFormat="1" x14ac:dyDescent="0.25">
      <c r="A11" s="60"/>
      <c r="B11" s="47">
        <f t="shared" ref="B11:B127" si="0">ROW(B11) - ROW($B$9)</f>
        <v>2</v>
      </c>
      <c r="C11" s="54" t="s">
        <v>9</v>
      </c>
      <c r="D11" s="51" t="s">
        <v>40</v>
      </c>
      <c r="E11" s="51" t="s">
        <v>147</v>
      </c>
      <c r="F11" s="51" t="s">
        <v>253</v>
      </c>
      <c r="G11" s="51" t="s">
        <v>309</v>
      </c>
      <c r="H11" s="51" t="s">
        <v>398</v>
      </c>
      <c r="I11" s="51" t="s">
        <v>601</v>
      </c>
      <c r="J11" s="51" t="s">
        <v>443</v>
      </c>
      <c r="K11" s="51" t="s">
        <v>533</v>
      </c>
      <c r="L11" s="51">
        <v>1</v>
      </c>
      <c r="M11" s="37">
        <f t="shared" ref="M11:M74" si="1">L11*10</f>
        <v>10</v>
      </c>
      <c r="N11" s="51">
        <v>50</v>
      </c>
      <c r="O11" s="63" t="s">
        <v>600</v>
      </c>
      <c r="P11" s="52">
        <v>1.7500000000000002E-2</v>
      </c>
      <c r="Q11" s="52">
        <f t="shared" ref="Q11" si="2">P11*N11</f>
        <v>0.87500000000000011</v>
      </c>
      <c r="R11" s="51"/>
      <c r="S11" s="51"/>
    </row>
    <row r="12" spans="1:19" s="62" customFormat="1" ht="24" x14ac:dyDescent="0.25">
      <c r="A12" s="60"/>
      <c r="B12" s="46">
        <f>ROW(B12) - ROW($B$9)</f>
        <v>3</v>
      </c>
      <c r="C12" s="54" t="s">
        <v>9</v>
      </c>
      <c r="D12" s="37" t="s">
        <v>647</v>
      </c>
      <c r="E12" s="37" t="s">
        <v>148</v>
      </c>
      <c r="F12" s="37" t="s">
        <v>254</v>
      </c>
      <c r="G12" s="37" t="s">
        <v>310</v>
      </c>
      <c r="H12" s="37" t="s">
        <v>398</v>
      </c>
      <c r="I12" s="37" t="s">
        <v>601</v>
      </c>
      <c r="J12" s="37" t="s">
        <v>444</v>
      </c>
      <c r="K12" s="37" t="s">
        <v>534</v>
      </c>
      <c r="L12" s="37">
        <v>15</v>
      </c>
      <c r="M12" s="37">
        <f t="shared" si="1"/>
        <v>150</v>
      </c>
      <c r="N12" s="37">
        <v>200</v>
      </c>
      <c r="O12" s="63" t="s">
        <v>600</v>
      </c>
      <c r="P12" s="38">
        <v>1.1000000000000001E-3</v>
      </c>
      <c r="Q12" s="38">
        <f>P12*N12</f>
        <v>0.22</v>
      </c>
      <c r="R12" s="37"/>
      <c r="S12" s="59"/>
    </row>
    <row r="13" spans="1:19" s="62" customFormat="1" ht="24" x14ac:dyDescent="0.25">
      <c r="A13" s="60"/>
      <c r="B13" s="47">
        <f t="shared" si="0"/>
        <v>4</v>
      </c>
      <c r="C13" s="54" t="s">
        <v>9</v>
      </c>
      <c r="D13" s="51" t="s">
        <v>648</v>
      </c>
      <c r="E13" s="51" t="s">
        <v>149</v>
      </c>
      <c r="F13" s="51" t="s">
        <v>254</v>
      </c>
      <c r="G13" s="51" t="s">
        <v>311</v>
      </c>
      <c r="H13" s="51" t="s">
        <v>399</v>
      </c>
      <c r="I13" s="51" t="s">
        <v>601</v>
      </c>
      <c r="J13" s="51" t="s">
        <v>445</v>
      </c>
      <c r="K13" s="51" t="s">
        <v>534</v>
      </c>
      <c r="L13" s="51">
        <v>11</v>
      </c>
      <c r="M13" s="37">
        <f t="shared" si="1"/>
        <v>110</v>
      </c>
      <c r="N13" s="51">
        <v>135</v>
      </c>
      <c r="O13" s="63" t="s">
        <v>600</v>
      </c>
      <c r="P13" s="52">
        <v>7.9000000000000001E-2</v>
      </c>
      <c r="Q13" s="52">
        <f t="shared" ref="Q13" si="3">P13*N13</f>
        <v>10.665000000000001</v>
      </c>
      <c r="R13" s="51"/>
      <c r="S13" s="59"/>
    </row>
    <row r="14" spans="1:19" s="62" customFormat="1" x14ac:dyDescent="0.25">
      <c r="A14" s="60"/>
      <c r="B14" s="46">
        <f>ROW(B14) - ROW($B$9)</f>
        <v>5</v>
      </c>
      <c r="C14" s="54" t="s">
        <v>9</v>
      </c>
      <c r="D14" s="37" t="s">
        <v>41</v>
      </c>
      <c r="E14" s="37" t="s">
        <v>150</v>
      </c>
      <c r="F14" s="37" t="s">
        <v>254</v>
      </c>
      <c r="G14" s="37" t="s">
        <v>312</v>
      </c>
      <c r="H14" s="37" t="s">
        <v>398</v>
      </c>
      <c r="I14" s="37" t="s">
        <v>601</v>
      </c>
      <c r="J14" s="37" t="s">
        <v>446</v>
      </c>
      <c r="K14" s="37" t="s">
        <v>532</v>
      </c>
      <c r="L14" s="37">
        <v>6</v>
      </c>
      <c r="M14" s="37">
        <f t="shared" si="1"/>
        <v>60</v>
      </c>
      <c r="N14" s="37">
        <v>80</v>
      </c>
      <c r="O14" s="63" t="s">
        <v>600</v>
      </c>
      <c r="P14" s="38">
        <v>2.53E-2</v>
      </c>
      <c r="Q14" s="38">
        <f>P14*N14</f>
        <v>2.024</v>
      </c>
      <c r="R14" s="37"/>
      <c r="S14" s="59"/>
    </row>
    <row r="15" spans="1:19" s="62" customFormat="1" x14ac:dyDescent="0.25">
      <c r="A15" s="60"/>
      <c r="B15" s="47">
        <f t="shared" si="0"/>
        <v>6</v>
      </c>
      <c r="C15" s="54" t="s">
        <v>9</v>
      </c>
      <c r="D15" s="51" t="s">
        <v>42</v>
      </c>
      <c r="E15" s="51" t="s">
        <v>151</v>
      </c>
      <c r="F15" s="51" t="s">
        <v>255</v>
      </c>
      <c r="G15" s="51" t="s">
        <v>313</v>
      </c>
      <c r="H15" s="51" t="s">
        <v>400</v>
      </c>
      <c r="I15" s="37" t="s">
        <v>601</v>
      </c>
      <c r="J15" s="51" t="s">
        <v>447</v>
      </c>
      <c r="K15" s="51" t="s">
        <v>535</v>
      </c>
      <c r="L15" s="51">
        <v>1</v>
      </c>
      <c r="M15" s="37">
        <f t="shared" si="1"/>
        <v>10</v>
      </c>
      <c r="N15" s="51">
        <v>15</v>
      </c>
      <c r="O15" s="63" t="s">
        <v>600</v>
      </c>
      <c r="P15" s="52">
        <v>0.26129999999999998</v>
      </c>
      <c r="Q15" s="52">
        <f t="shared" ref="Q15" si="4">P15*N15</f>
        <v>3.9194999999999998</v>
      </c>
      <c r="R15" s="51"/>
      <c r="S15" s="59"/>
    </row>
    <row r="16" spans="1:19" s="62" customFormat="1" ht="36" x14ac:dyDescent="0.25">
      <c r="A16" s="60"/>
      <c r="B16" s="46">
        <f>ROW(B16) - ROW($B$9)</f>
        <v>7</v>
      </c>
      <c r="C16" s="54" t="s">
        <v>9</v>
      </c>
      <c r="D16" s="37" t="s">
        <v>43</v>
      </c>
      <c r="E16" s="37" t="s">
        <v>152</v>
      </c>
      <c r="F16" s="37" t="s">
        <v>256</v>
      </c>
      <c r="G16" s="37" t="s">
        <v>314</v>
      </c>
      <c r="H16" s="37" t="s">
        <v>401</v>
      </c>
      <c r="I16" s="51" t="s">
        <v>601</v>
      </c>
      <c r="J16" s="37" t="s">
        <v>448</v>
      </c>
      <c r="K16" s="37" t="s">
        <v>536</v>
      </c>
      <c r="L16" s="37">
        <v>2</v>
      </c>
      <c r="M16" s="37">
        <f t="shared" si="1"/>
        <v>20</v>
      </c>
      <c r="N16" s="37">
        <v>30</v>
      </c>
      <c r="O16" s="63" t="s">
        <v>600</v>
      </c>
      <c r="P16" s="38">
        <v>4.9399999999999999E-2</v>
      </c>
      <c r="Q16" s="38">
        <f>P16*N16</f>
        <v>1.482</v>
      </c>
      <c r="R16" s="37"/>
      <c r="S16" s="59"/>
    </row>
    <row r="17" spans="1:19" s="62" customFormat="1" x14ac:dyDescent="0.25">
      <c r="A17" s="60"/>
      <c r="B17" s="47">
        <f t="shared" si="0"/>
        <v>8</v>
      </c>
      <c r="C17" s="54" t="s">
        <v>9</v>
      </c>
      <c r="D17" s="51" t="s">
        <v>44</v>
      </c>
      <c r="E17" s="51" t="s">
        <v>602</v>
      </c>
      <c r="F17" s="51" t="s">
        <v>255</v>
      </c>
      <c r="G17" s="51" t="s">
        <v>603</v>
      </c>
      <c r="H17" s="51" t="s">
        <v>400</v>
      </c>
      <c r="I17" s="37" t="s">
        <v>601</v>
      </c>
      <c r="J17" s="51" t="s">
        <v>604</v>
      </c>
      <c r="K17" s="51" t="s">
        <v>605</v>
      </c>
      <c r="L17" s="51">
        <v>1</v>
      </c>
      <c r="M17" s="37">
        <f t="shared" si="1"/>
        <v>10</v>
      </c>
      <c r="N17" s="51">
        <v>15</v>
      </c>
      <c r="O17" s="63" t="s">
        <v>600</v>
      </c>
      <c r="P17" s="52">
        <v>0.20349999999999999</v>
      </c>
      <c r="Q17" s="52">
        <f t="shared" ref="Q17:Q18" si="5">P17*N17</f>
        <v>3.0524999999999998</v>
      </c>
      <c r="R17" s="51"/>
      <c r="S17" s="59"/>
    </row>
    <row r="18" spans="1:19" s="62" customFormat="1" x14ac:dyDescent="0.25">
      <c r="A18" s="60"/>
      <c r="B18" s="47">
        <f>ROW(B18) - ROW($B$9)</f>
        <v>9</v>
      </c>
      <c r="C18" s="54" t="s">
        <v>9</v>
      </c>
      <c r="D18" s="51" t="s">
        <v>45</v>
      </c>
      <c r="E18" s="51" t="s">
        <v>154</v>
      </c>
      <c r="F18" s="51" t="s">
        <v>252</v>
      </c>
      <c r="G18" s="51" t="s">
        <v>316</v>
      </c>
      <c r="H18" s="51" t="s">
        <v>398</v>
      </c>
      <c r="I18" s="51" t="s">
        <v>601</v>
      </c>
      <c r="J18" s="51" t="s">
        <v>450</v>
      </c>
      <c r="K18" s="51" t="s">
        <v>538</v>
      </c>
      <c r="L18" s="51">
        <v>3</v>
      </c>
      <c r="M18" s="37">
        <f t="shared" si="1"/>
        <v>30</v>
      </c>
      <c r="N18" s="37">
        <v>100</v>
      </c>
      <c r="O18" s="63" t="s">
        <v>600</v>
      </c>
      <c r="P18" s="52">
        <v>3.5999999999999999E-3</v>
      </c>
      <c r="Q18" s="52">
        <f t="shared" si="5"/>
        <v>0.36</v>
      </c>
      <c r="R18" s="51"/>
      <c r="S18" s="59"/>
    </row>
    <row r="19" spans="1:19" s="62" customFormat="1" x14ac:dyDescent="0.25">
      <c r="A19" s="60"/>
      <c r="B19" s="46">
        <f>ROW(B19) - ROW($B$9)</f>
        <v>10</v>
      </c>
      <c r="C19" s="54" t="s">
        <v>9</v>
      </c>
      <c r="D19" s="37" t="s">
        <v>46</v>
      </c>
      <c r="E19" s="37" t="s">
        <v>155</v>
      </c>
      <c r="F19" s="37" t="s">
        <v>252</v>
      </c>
      <c r="G19" s="37" t="s">
        <v>317</v>
      </c>
      <c r="H19" s="37" t="s">
        <v>398</v>
      </c>
      <c r="I19" s="37" t="s">
        <v>601</v>
      </c>
      <c r="J19" s="37" t="s">
        <v>451</v>
      </c>
      <c r="K19" s="37" t="s">
        <v>539</v>
      </c>
      <c r="L19" s="37">
        <v>1</v>
      </c>
      <c r="M19" s="37">
        <f t="shared" si="1"/>
        <v>10</v>
      </c>
      <c r="N19" s="51">
        <v>100</v>
      </c>
      <c r="O19" s="63" t="s">
        <v>600</v>
      </c>
      <c r="P19" s="38">
        <v>2.7000000000000001E-3</v>
      </c>
      <c r="Q19" s="38">
        <f>P19*N19</f>
        <v>0.27</v>
      </c>
      <c r="R19" s="37"/>
      <c r="S19" s="59"/>
    </row>
    <row r="20" spans="1:19" s="62" customFormat="1" x14ac:dyDescent="0.25">
      <c r="A20" s="60"/>
      <c r="B20" s="47">
        <f t="shared" si="0"/>
        <v>11</v>
      </c>
      <c r="C20" s="54" t="s">
        <v>9</v>
      </c>
      <c r="D20" s="51" t="s">
        <v>47</v>
      </c>
      <c r="E20" s="51" t="s">
        <v>156</v>
      </c>
      <c r="F20" s="51" t="s">
        <v>252</v>
      </c>
      <c r="G20" s="51" t="s">
        <v>318</v>
      </c>
      <c r="H20" s="51" t="s">
        <v>398</v>
      </c>
      <c r="I20" s="51" t="s">
        <v>601</v>
      </c>
      <c r="J20" s="51" t="s">
        <v>452</v>
      </c>
      <c r="K20" s="51" t="s">
        <v>540</v>
      </c>
      <c r="L20" s="51">
        <v>3</v>
      </c>
      <c r="M20" s="37">
        <f t="shared" si="1"/>
        <v>30</v>
      </c>
      <c r="N20" s="37">
        <v>100</v>
      </c>
      <c r="O20" s="63" t="s">
        <v>600</v>
      </c>
      <c r="P20" s="52">
        <v>1.4999999999999999E-2</v>
      </c>
      <c r="Q20" s="52">
        <f t="shared" ref="Q20" si="6">P20*N20</f>
        <v>1.5</v>
      </c>
      <c r="R20" s="51"/>
      <c r="S20" s="59"/>
    </row>
    <row r="21" spans="1:19" s="62" customFormat="1" x14ac:dyDescent="0.25">
      <c r="A21" s="60"/>
      <c r="B21" s="46">
        <f>ROW(B21) - ROW($B$9)</f>
        <v>12</v>
      </c>
      <c r="C21" s="54" t="s">
        <v>9</v>
      </c>
      <c r="D21" s="37" t="s">
        <v>48</v>
      </c>
      <c r="E21" s="37" t="s">
        <v>157</v>
      </c>
      <c r="F21" s="37" t="s">
        <v>257</v>
      </c>
      <c r="G21" s="70" t="s">
        <v>319</v>
      </c>
      <c r="H21" s="37" t="s">
        <v>399</v>
      </c>
      <c r="I21" s="37" t="s">
        <v>626</v>
      </c>
      <c r="J21" s="37" t="s">
        <v>627</v>
      </c>
      <c r="K21" s="37" t="s">
        <v>541</v>
      </c>
      <c r="L21" s="37">
        <v>2</v>
      </c>
      <c r="M21" s="37">
        <f t="shared" si="1"/>
        <v>20</v>
      </c>
      <c r="N21" s="51">
        <v>50</v>
      </c>
      <c r="O21" s="63" t="s">
        <v>600</v>
      </c>
      <c r="P21" s="38">
        <v>1.1000000000000001E-3</v>
      </c>
      <c r="Q21" s="38">
        <f>P21*N21</f>
        <v>5.5E-2</v>
      </c>
      <c r="R21" s="37"/>
      <c r="S21" s="59"/>
    </row>
    <row r="22" spans="1:19" s="62" customFormat="1" x14ac:dyDescent="0.25">
      <c r="A22" s="60"/>
      <c r="B22" s="47">
        <f t="shared" si="0"/>
        <v>13</v>
      </c>
      <c r="C22" s="54" t="s">
        <v>9</v>
      </c>
      <c r="D22" s="51" t="s">
        <v>49</v>
      </c>
      <c r="E22" s="51" t="s">
        <v>158</v>
      </c>
      <c r="F22" s="51" t="s">
        <v>252</v>
      </c>
      <c r="G22" s="51" t="s">
        <v>320</v>
      </c>
      <c r="H22" s="51" t="s">
        <v>398</v>
      </c>
      <c r="I22" s="37" t="s">
        <v>601</v>
      </c>
      <c r="J22" s="51" t="s">
        <v>453</v>
      </c>
      <c r="K22" s="51" t="s">
        <v>542</v>
      </c>
      <c r="L22" s="51">
        <v>2</v>
      </c>
      <c r="M22" s="37">
        <f t="shared" si="1"/>
        <v>20</v>
      </c>
      <c r="N22" s="37">
        <v>100</v>
      </c>
      <c r="O22" s="63" t="s">
        <v>600</v>
      </c>
      <c r="P22" s="52">
        <v>3.0000000000000001E-3</v>
      </c>
      <c r="Q22" s="52">
        <f t="shared" ref="Q22" si="7">P22*N22</f>
        <v>0.3</v>
      </c>
      <c r="R22" s="51"/>
      <c r="S22" s="59"/>
    </row>
    <row r="23" spans="1:19" s="62" customFormat="1" ht="36" x14ac:dyDescent="0.25">
      <c r="A23" s="60"/>
      <c r="B23" s="46">
        <f>ROW(B23) - ROW($B$9)</f>
        <v>14</v>
      </c>
      <c r="C23" s="53" t="s">
        <v>9</v>
      </c>
      <c r="D23" s="37" t="s">
        <v>50</v>
      </c>
      <c r="E23" s="37" t="s">
        <v>159</v>
      </c>
      <c r="F23" s="37" t="s">
        <v>258</v>
      </c>
      <c r="G23" s="37" t="s">
        <v>321</v>
      </c>
      <c r="H23" s="37" t="s">
        <v>402</v>
      </c>
      <c r="I23" s="51" t="s">
        <v>601</v>
      </c>
      <c r="J23" s="37" t="s">
        <v>454</v>
      </c>
      <c r="K23" s="37" t="s">
        <v>532</v>
      </c>
      <c r="L23" s="37">
        <v>1</v>
      </c>
      <c r="M23" s="37">
        <f t="shared" si="1"/>
        <v>10</v>
      </c>
      <c r="N23" s="51">
        <v>100</v>
      </c>
      <c r="O23" s="63" t="s">
        <v>600</v>
      </c>
      <c r="P23" s="38">
        <v>7.0900000000000005E-2</v>
      </c>
      <c r="Q23" s="38">
        <f>P23*N23</f>
        <v>7.0900000000000007</v>
      </c>
      <c r="R23" s="37"/>
      <c r="S23" s="59"/>
    </row>
    <row r="24" spans="1:19" s="62" customFormat="1" x14ac:dyDescent="0.25">
      <c r="A24" s="60"/>
      <c r="B24" s="47">
        <f t="shared" si="0"/>
        <v>15</v>
      </c>
      <c r="C24" s="54" t="s">
        <v>9</v>
      </c>
      <c r="D24" s="51" t="s">
        <v>51</v>
      </c>
      <c r="E24" s="51" t="s">
        <v>160</v>
      </c>
      <c r="F24" s="51" t="s">
        <v>256</v>
      </c>
      <c r="G24" s="51" t="s">
        <v>322</v>
      </c>
      <c r="H24" s="51" t="s">
        <v>398</v>
      </c>
      <c r="I24" s="37" t="s">
        <v>601</v>
      </c>
      <c r="J24" s="51" t="s">
        <v>455</v>
      </c>
      <c r="K24" s="51" t="s">
        <v>543</v>
      </c>
      <c r="L24" s="51">
        <v>1</v>
      </c>
      <c r="M24" s="37">
        <f t="shared" si="1"/>
        <v>10</v>
      </c>
      <c r="N24" s="37">
        <v>20</v>
      </c>
      <c r="O24" s="63" t="s">
        <v>600</v>
      </c>
      <c r="P24" s="52">
        <v>2.87E-2</v>
      </c>
      <c r="Q24" s="52">
        <f t="shared" ref="Q24" si="8">P24*N24</f>
        <v>0.57399999999999995</v>
      </c>
      <c r="R24" s="51"/>
      <c r="S24" s="59"/>
    </row>
    <row r="25" spans="1:19" s="62" customFormat="1" x14ac:dyDescent="0.25">
      <c r="A25" s="60"/>
      <c r="B25" s="46">
        <f>ROW(B25) - ROW($B$9)</f>
        <v>16</v>
      </c>
      <c r="C25" s="54" t="s">
        <v>9</v>
      </c>
      <c r="D25" s="51" t="s">
        <v>649</v>
      </c>
      <c r="E25" s="37" t="s">
        <v>153</v>
      </c>
      <c r="F25" s="37" t="s">
        <v>254</v>
      </c>
      <c r="G25" s="37" t="s">
        <v>315</v>
      </c>
      <c r="H25" s="37" t="s">
        <v>398</v>
      </c>
      <c r="I25" s="37" t="s">
        <v>601</v>
      </c>
      <c r="J25" s="37" t="s">
        <v>449</v>
      </c>
      <c r="K25" s="37" t="s">
        <v>537</v>
      </c>
      <c r="L25" s="37">
        <v>1</v>
      </c>
      <c r="M25" s="37">
        <f t="shared" si="1"/>
        <v>10</v>
      </c>
      <c r="N25" s="51">
        <v>20</v>
      </c>
      <c r="O25" s="63" t="s">
        <v>600</v>
      </c>
      <c r="P25" s="38">
        <v>2.3999999999999998E-3</v>
      </c>
      <c r="Q25" s="38">
        <f>P25*N25</f>
        <v>4.7999999999999994E-2</v>
      </c>
      <c r="R25" s="37"/>
      <c r="S25" s="59"/>
    </row>
    <row r="26" spans="1:19" s="62" customFormat="1" x14ac:dyDescent="0.25">
      <c r="A26" s="60"/>
      <c r="B26" s="46">
        <f>ROW(B26) - ROW($B$9)</f>
        <v>17</v>
      </c>
      <c r="C26" s="53" t="s">
        <v>9</v>
      </c>
      <c r="D26" s="37" t="s">
        <v>52</v>
      </c>
      <c r="E26" s="37" t="s">
        <v>161</v>
      </c>
      <c r="F26" s="37" t="s">
        <v>252</v>
      </c>
      <c r="G26" s="37" t="s">
        <v>323</v>
      </c>
      <c r="H26" s="37" t="s">
        <v>398</v>
      </c>
      <c r="I26" s="37" t="s">
        <v>601</v>
      </c>
      <c r="J26" s="37" t="s">
        <v>456</v>
      </c>
      <c r="K26" s="37" t="s">
        <v>536</v>
      </c>
      <c r="L26" s="37">
        <v>1</v>
      </c>
      <c r="M26" s="37">
        <f t="shared" si="1"/>
        <v>10</v>
      </c>
      <c r="N26" s="37">
        <v>20</v>
      </c>
      <c r="O26" s="63" t="s">
        <v>600</v>
      </c>
      <c r="P26" s="38">
        <v>3.5200000000000002E-2</v>
      </c>
      <c r="Q26" s="38">
        <f>P26*N26</f>
        <v>0.70400000000000007</v>
      </c>
      <c r="R26" s="37"/>
      <c r="S26" s="59"/>
    </row>
    <row r="27" spans="1:19" s="62" customFormat="1" x14ac:dyDescent="0.25">
      <c r="A27" s="60"/>
      <c r="B27" s="47">
        <f t="shared" si="0"/>
        <v>18</v>
      </c>
      <c r="C27" s="54" t="s">
        <v>9</v>
      </c>
      <c r="D27" s="51" t="s">
        <v>53</v>
      </c>
      <c r="E27" s="51" t="s">
        <v>162</v>
      </c>
      <c r="F27" s="51" t="s">
        <v>253</v>
      </c>
      <c r="G27" s="51" t="s">
        <v>324</v>
      </c>
      <c r="H27" s="51" t="s">
        <v>398</v>
      </c>
      <c r="I27" s="51" t="s">
        <v>601</v>
      </c>
      <c r="J27" s="51" t="s">
        <v>457</v>
      </c>
      <c r="K27" s="51" t="s">
        <v>544</v>
      </c>
      <c r="L27" s="51">
        <v>1</v>
      </c>
      <c r="M27" s="37">
        <f t="shared" si="1"/>
        <v>10</v>
      </c>
      <c r="N27" s="51">
        <v>50</v>
      </c>
      <c r="O27" s="63" t="s">
        <v>600</v>
      </c>
      <c r="P27" s="52">
        <v>1.23E-2</v>
      </c>
      <c r="Q27" s="52">
        <f t="shared" ref="Q27" si="9">P27*N27</f>
        <v>0.61499999999999999</v>
      </c>
      <c r="R27" s="51"/>
      <c r="S27" s="59"/>
    </row>
    <row r="28" spans="1:19" s="62" customFormat="1" x14ac:dyDescent="0.25">
      <c r="A28" s="60"/>
      <c r="B28" s="46">
        <f>ROW(B28) - ROW($B$9)</f>
        <v>19</v>
      </c>
      <c r="C28" s="53" t="s">
        <v>9</v>
      </c>
      <c r="D28" s="37" t="s">
        <v>54</v>
      </c>
      <c r="E28" s="37" t="s">
        <v>163</v>
      </c>
      <c r="F28" s="37" t="s">
        <v>252</v>
      </c>
      <c r="G28" s="37" t="s">
        <v>325</v>
      </c>
      <c r="H28" s="37" t="s">
        <v>398</v>
      </c>
      <c r="I28" s="37" t="s">
        <v>601</v>
      </c>
      <c r="J28" s="37" t="s">
        <v>458</v>
      </c>
      <c r="K28" s="37" t="s">
        <v>534</v>
      </c>
      <c r="L28" s="37">
        <v>2</v>
      </c>
      <c r="M28" s="37">
        <f t="shared" si="1"/>
        <v>20</v>
      </c>
      <c r="N28" s="37">
        <v>100</v>
      </c>
      <c r="O28" s="63" t="s">
        <v>600</v>
      </c>
      <c r="P28" s="38">
        <v>5.3E-3</v>
      </c>
      <c r="Q28" s="38">
        <f>P28*N28</f>
        <v>0.53</v>
      </c>
      <c r="R28" s="37"/>
      <c r="S28" s="59"/>
    </row>
    <row r="29" spans="1:19" s="62" customFormat="1" x14ac:dyDescent="0.25">
      <c r="A29" s="60"/>
      <c r="B29" s="47">
        <f t="shared" si="0"/>
        <v>20</v>
      </c>
      <c r="C29" s="54" t="s">
        <v>9</v>
      </c>
      <c r="D29" s="51" t="s">
        <v>55</v>
      </c>
      <c r="E29" s="51" t="s">
        <v>164</v>
      </c>
      <c r="F29" s="51" t="s">
        <v>252</v>
      </c>
      <c r="G29" s="51" t="s">
        <v>326</v>
      </c>
      <c r="H29" s="51" t="s">
        <v>398</v>
      </c>
      <c r="I29" s="51" t="s">
        <v>601</v>
      </c>
      <c r="J29" s="51" t="s">
        <v>459</v>
      </c>
      <c r="K29" s="51" t="s">
        <v>545</v>
      </c>
      <c r="L29" s="51">
        <v>1</v>
      </c>
      <c r="M29" s="37">
        <f t="shared" si="1"/>
        <v>10</v>
      </c>
      <c r="N29" s="51">
        <v>100</v>
      </c>
      <c r="O29" s="63" t="s">
        <v>600</v>
      </c>
      <c r="P29" s="52">
        <v>3.2000000000000002E-3</v>
      </c>
      <c r="Q29" s="52">
        <f t="shared" ref="Q29" si="10">P29*N29</f>
        <v>0.32</v>
      </c>
      <c r="R29" s="51"/>
      <c r="S29" s="59"/>
    </row>
    <row r="30" spans="1:19" s="62" customFormat="1" x14ac:dyDescent="0.25">
      <c r="A30" s="60"/>
      <c r="B30" s="46">
        <f>ROW(B30) - ROW($B$9)</f>
        <v>21</v>
      </c>
      <c r="C30" s="53" t="s">
        <v>9</v>
      </c>
      <c r="D30" s="37" t="s">
        <v>56</v>
      </c>
      <c r="E30" s="37" t="s">
        <v>165</v>
      </c>
      <c r="F30" s="37" t="s">
        <v>252</v>
      </c>
      <c r="G30" s="37" t="s">
        <v>327</v>
      </c>
      <c r="H30" s="37" t="s">
        <v>403</v>
      </c>
      <c r="I30" s="37" t="s">
        <v>601</v>
      </c>
      <c r="J30" s="37" t="s">
        <v>460</v>
      </c>
      <c r="K30" s="37" t="s">
        <v>546</v>
      </c>
      <c r="L30" s="37">
        <v>2</v>
      </c>
      <c r="M30" s="37">
        <f t="shared" si="1"/>
        <v>20</v>
      </c>
      <c r="N30" s="37">
        <v>100</v>
      </c>
      <c r="O30" s="63" t="s">
        <v>600</v>
      </c>
      <c r="P30" s="38">
        <v>2.8E-3</v>
      </c>
      <c r="Q30" s="38">
        <f>P30*N30</f>
        <v>0.27999999999999997</v>
      </c>
      <c r="R30" s="37"/>
      <c r="S30" s="59"/>
    </row>
    <row r="31" spans="1:19" s="62" customFormat="1" ht="36" x14ac:dyDescent="0.25">
      <c r="A31" s="60"/>
      <c r="B31" s="47">
        <f t="shared" si="0"/>
        <v>22</v>
      </c>
      <c r="C31" s="54" t="s">
        <v>9</v>
      </c>
      <c r="D31" s="66" t="s">
        <v>57</v>
      </c>
      <c r="E31" s="51" t="s">
        <v>657</v>
      </c>
      <c r="F31" s="51" t="s">
        <v>595</v>
      </c>
      <c r="G31" s="51" t="s">
        <v>651</v>
      </c>
      <c r="H31" s="51" t="s">
        <v>658</v>
      </c>
      <c r="I31" s="51" t="s">
        <v>601</v>
      </c>
      <c r="J31" s="51" t="s">
        <v>659</v>
      </c>
      <c r="K31" s="51" t="s">
        <v>547</v>
      </c>
      <c r="L31" s="51">
        <v>1</v>
      </c>
      <c r="M31" s="37">
        <f t="shared" si="1"/>
        <v>10</v>
      </c>
      <c r="N31" s="51">
        <v>20</v>
      </c>
      <c r="O31" s="63" t="s">
        <v>600</v>
      </c>
      <c r="P31" s="52">
        <v>1.7399999999999999E-2</v>
      </c>
      <c r="Q31" s="52">
        <f t="shared" ref="Q31" si="11">P31*N31</f>
        <v>0.34799999999999998</v>
      </c>
      <c r="R31" s="51"/>
      <c r="S31" s="59"/>
    </row>
    <row r="32" spans="1:19" s="62" customFormat="1" x14ac:dyDescent="0.25">
      <c r="A32" s="60"/>
      <c r="B32" s="46">
        <f>ROW(B32) - ROW($B$9)</f>
        <v>23</v>
      </c>
      <c r="C32" s="53" t="s">
        <v>9</v>
      </c>
      <c r="D32" s="37" t="s">
        <v>58</v>
      </c>
      <c r="E32" s="37" t="s">
        <v>166</v>
      </c>
      <c r="F32" s="37" t="s">
        <v>256</v>
      </c>
      <c r="G32" s="37" t="s">
        <v>328</v>
      </c>
      <c r="H32" s="37" t="s">
        <v>398</v>
      </c>
      <c r="I32" s="51" t="s">
        <v>601</v>
      </c>
      <c r="J32" s="37" t="s">
        <v>461</v>
      </c>
      <c r="K32" s="37" t="s">
        <v>536</v>
      </c>
      <c r="L32" s="37">
        <v>2</v>
      </c>
      <c r="M32" s="37">
        <f t="shared" si="1"/>
        <v>20</v>
      </c>
      <c r="N32" s="37">
        <v>30</v>
      </c>
      <c r="O32" s="63" t="s">
        <v>600</v>
      </c>
      <c r="P32" s="38">
        <v>6.4199999999999993E-2</v>
      </c>
      <c r="Q32" s="38">
        <f>P32*N32</f>
        <v>1.9259999999999997</v>
      </c>
      <c r="R32" s="37"/>
      <c r="S32" s="59"/>
    </row>
    <row r="33" spans="1:19" s="62" customFormat="1" x14ac:dyDescent="0.25">
      <c r="A33" s="60"/>
      <c r="B33" s="47">
        <f t="shared" si="0"/>
        <v>24</v>
      </c>
      <c r="C33" s="54" t="s">
        <v>9</v>
      </c>
      <c r="D33" s="51" t="s">
        <v>59</v>
      </c>
      <c r="E33" s="51" t="s">
        <v>167</v>
      </c>
      <c r="F33" s="51" t="s">
        <v>252</v>
      </c>
      <c r="G33" s="51" t="s">
        <v>329</v>
      </c>
      <c r="H33" s="51" t="s">
        <v>398</v>
      </c>
      <c r="I33" s="37" t="s">
        <v>601</v>
      </c>
      <c r="J33" s="51" t="s">
        <v>462</v>
      </c>
      <c r="K33" s="51" t="s">
        <v>532</v>
      </c>
      <c r="L33" s="51">
        <v>2</v>
      </c>
      <c r="M33" s="37">
        <f t="shared" si="1"/>
        <v>20</v>
      </c>
      <c r="N33" s="51">
        <v>25</v>
      </c>
      <c r="O33" s="63" t="s">
        <v>600</v>
      </c>
      <c r="P33" s="52">
        <v>0.1552</v>
      </c>
      <c r="Q33" s="52">
        <f t="shared" ref="Q33" si="12">P33*N33</f>
        <v>3.88</v>
      </c>
      <c r="R33" s="51"/>
      <c r="S33" s="59"/>
    </row>
    <row r="34" spans="1:19" s="62" customFormat="1" x14ac:dyDescent="0.25">
      <c r="A34" s="60"/>
      <c r="B34" s="46">
        <f>ROW(B34) - ROW($B$9)</f>
        <v>25</v>
      </c>
      <c r="C34" s="54" t="s">
        <v>9</v>
      </c>
      <c r="D34" s="37" t="s">
        <v>60</v>
      </c>
      <c r="E34" s="37" t="s">
        <v>168</v>
      </c>
      <c r="F34" s="37" t="s">
        <v>252</v>
      </c>
      <c r="G34" s="37" t="s">
        <v>618</v>
      </c>
      <c r="H34" s="37" t="s">
        <v>398</v>
      </c>
      <c r="I34" s="37" t="s">
        <v>601</v>
      </c>
      <c r="J34" s="37" t="s">
        <v>463</v>
      </c>
      <c r="K34" s="37" t="s">
        <v>548</v>
      </c>
      <c r="L34" s="37">
        <v>3</v>
      </c>
      <c r="M34" s="37">
        <f t="shared" si="1"/>
        <v>30</v>
      </c>
      <c r="N34" s="37">
        <v>100</v>
      </c>
      <c r="O34" s="63" t="s">
        <v>600</v>
      </c>
      <c r="P34" s="38">
        <v>2.7000000000000001E-3</v>
      </c>
      <c r="Q34" s="38">
        <f>P34*N34</f>
        <v>0.27</v>
      </c>
      <c r="R34" s="37"/>
      <c r="S34" s="59"/>
    </row>
    <row r="35" spans="1:19" s="62" customFormat="1" x14ac:dyDescent="0.25">
      <c r="A35" s="60"/>
      <c r="B35" s="47">
        <f t="shared" si="0"/>
        <v>26</v>
      </c>
      <c r="C35" s="54" t="s">
        <v>9</v>
      </c>
      <c r="D35" s="51" t="s">
        <v>61</v>
      </c>
      <c r="E35" s="51" t="s">
        <v>606</v>
      </c>
      <c r="F35" s="51" t="s">
        <v>607</v>
      </c>
      <c r="G35" s="51" t="s">
        <v>608</v>
      </c>
      <c r="H35" s="51" t="s">
        <v>400</v>
      </c>
      <c r="I35" s="37" t="s">
        <v>601</v>
      </c>
      <c r="J35" s="51" t="s">
        <v>609</v>
      </c>
      <c r="K35" s="51" t="s">
        <v>610</v>
      </c>
      <c r="L35" s="51">
        <v>1</v>
      </c>
      <c r="M35" s="37">
        <f t="shared" si="1"/>
        <v>10</v>
      </c>
      <c r="N35" s="51">
        <v>11</v>
      </c>
      <c r="O35" s="63" t="s">
        <v>600</v>
      </c>
      <c r="P35" s="52">
        <v>1.5511999999999999</v>
      </c>
      <c r="Q35" s="52">
        <f t="shared" ref="Q35" si="13">P35*N35</f>
        <v>17.063199999999998</v>
      </c>
      <c r="R35" s="51"/>
      <c r="S35" s="59"/>
    </row>
    <row r="36" spans="1:19" s="62" customFormat="1" x14ac:dyDescent="0.25">
      <c r="A36" s="60"/>
      <c r="B36" s="46">
        <f>ROW(B36) - ROW($B$9)</f>
        <v>27</v>
      </c>
      <c r="C36" s="54" t="s">
        <v>9</v>
      </c>
      <c r="D36" s="37" t="s">
        <v>62</v>
      </c>
      <c r="E36" s="37" t="s">
        <v>169</v>
      </c>
      <c r="F36" s="37" t="s">
        <v>252</v>
      </c>
      <c r="G36" s="37" t="s">
        <v>330</v>
      </c>
      <c r="H36" s="37" t="s">
        <v>398</v>
      </c>
      <c r="I36" s="51" t="s">
        <v>601</v>
      </c>
      <c r="J36" s="37" t="s">
        <v>464</v>
      </c>
      <c r="K36" s="37" t="s">
        <v>549</v>
      </c>
      <c r="L36" s="37">
        <v>1</v>
      </c>
      <c r="M36" s="37">
        <f t="shared" si="1"/>
        <v>10</v>
      </c>
      <c r="N36" s="37">
        <v>50</v>
      </c>
      <c r="O36" s="63" t="s">
        <v>600</v>
      </c>
      <c r="P36" s="38">
        <v>1.47E-2</v>
      </c>
      <c r="Q36" s="38">
        <f>P36*N36</f>
        <v>0.73499999999999999</v>
      </c>
      <c r="R36" s="37"/>
      <c r="S36" s="59"/>
    </row>
    <row r="37" spans="1:19" s="62" customFormat="1" ht="24" x14ac:dyDescent="0.25">
      <c r="A37" s="60"/>
      <c r="B37" s="47">
        <f t="shared" si="0"/>
        <v>28</v>
      </c>
      <c r="C37" s="53" t="s">
        <v>10</v>
      </c>
      <c r="D37" s="51" t="s">
        <v>63</v>
      </c>
      <c r="E37" s="51" t="s">
        <v>170</v>
      </c>
      <c r="F37" s="51" t="s">
        <v>259</v>
      </c>
      <c r="G37" s="51" t="s">
        <v>331</v>
      </c>
      <c r="H37" s="51" t="s">
        <v>404</v>
      </c>
      <c r="I37" s="51" t="s">
        <v>601</v>
      </c>
      <c r="J37" s="51" t="s">
        <v>465</v>
      </c>
      <c r="K37" s="51" t="s">
        <v>601</v>
      </c>
      <c r="L37" s="51">
        <v>1</v>
      </c>
      <c r="M37" s="37">
        <f t="shared" si="1"/>
        <v>10</v>
      </c>
      <c r="N37" s="51">
        <v>15</v>
      </c>
      <c r="O37" s="63" t="s">
        <v>600</v>
      </c>
      <c r="P37" s="52">
        <v>8.6499999999999994E-2</v>
      </c>
      <c r="Q37" s="52">
        <f t="shared" ref="Q37" si="14">P37*N37</f>
        <v>1.2974999999999999</v>
      </c>
      <c r="R37" s="51"/>
      <c r="S37" s="59"/>
    </row>
    <row r="38" spans="1:19" s="62" customFormat="1" ht="24" x14ac:dyDescent="0.25">
      <c r="A38" s="60"/>
      <c r="B38" s="46">
        <f>ROW(B38) - ROW($B$9)</f>
        <v>29</v>
      </c>
      <c r="C38" s="53" t="s">
        <v>10</v>
      </c>
      <c r="D38" s="37" t="s">
        <v>64</v>
      </c>
      <c r="E38" s="37" t="s">
        <v>171</v>
      </c>
      <c r="F38" s="37" t="s">
        <v>260</v>
      </c>
      <c r="G38" s="37" t="s">
        <v>332</v>
      </c>
      <c r="H38" s="37" t="s">
        <v>405</v>
      </c>
      <c r="I38" s="37" t="s">
        <v>601</v>
      </c>
      <c r="J38" s="37" t="s">
        <v>466</v>
      </c>
      <c r="K38" s="37" t="s">
        <v>550</v>
      </c>
      <c r="L38" s="37">
        <v>1</v>
      </c>
      <c r="M38" s="37">
        <f t="shared" si="1"/>
        <v>10</v>
      </c>
      <c r="N38" s="37">
        <v>20</v>
      </c>
      <c r="O38" s="63" t="s">
        <v>600</v>
      </c>
      <c r="P38" s="38" t="s">
        <v>601</v>
      </c>
      <c r="Q38" s="38" t="s">
        <v>601</v>
      </c>
      <c r="R38" s="65" t="s">
        <v>619</v>
      </c>
      <c r="S38" s="59"/>
    </row>
    <row r="39" spans="1:19" s="62" customFormat="1" ht="24" x14ac:dyDescent="0.25">
      <c r="A39" s="60"/>
      <c r="B39" s="47">
        <f t="shared" si="0"/>
        <v>30</v>
      </c>
      <c r="C39" s="54" t="s">
        <v>10</v>
      </c>
      <c r="D39" s="51" t="s">
        <v>65</v>
      </c>
      <c r="E39" s="51" t="s">
        <v>171</v>
      </c>
      <c r="F39" s="51" t="s">
        <v>260</v>
      </c>
      <c r="G39" s="51" t="s">
        <v>332</v>
      </c>
      <c r="H39" s="51" t="s">
        <v>405</v>
      </c>
      <c r="I39" s="51" t="s">
        <v>601</v>
      </c>
      <c r="J39" s="51" t="s">
        <v>466</v>
      </c>
      <c r="K39" s="51" t="s">
        <v>601</v>
      </c>
      <c r="L39" s="51">
        <v>2</v>
      </c>
      <c r="M39" s="37">
        <f t="shared" si="1"/>
        <v>20</v>
      </c>
      <c r="N39" s="51">
        <v>30</v>
      </c>
      <c r="O39" s="63" t="s">
        <v>600</v>
      </c>
      <c r="P39" s="52">
        <v>6.1800000000000001E-2</v>
      </c>
      <c r="Q39" s="52">
        <f t="shared" ref="Q39" si="15">P39*N39</f>
        <v>1.8540000000000001</v>
      </c>
      <c r="R39" s="51"/>
      <c r="S39" s="59"/>
    </row>
    <row r="40" spans="1:19" s="62" customFormat="1" ht="36" x14ac:dyDescent="0.25">
      <c r="A40" s="60"/>
      <c r="B40" s="46">
        <f>ROW(B40) - ROW($B$9)</f>
        <v>31</v>
      </c>
      <c r="C40" s="53" t="s">
        <v>10</v>
      </c>
      <c r="D40" s="37" t="s">
        <v>66</v>
      </c>
      <c r="E40" s="37" t="s">
        <v>172</v>
      </c>
      <c r="F40" s="37" t="s">
        <v>261</v>
      </c>
      <c r="G40" s="37" t="s">
        <v>333</v>
      </c>
      <c r="H40" s="37" t="s">
        <v>406</v>
      </c>
      <c r="I40" s="37" t="s">
        <v>601</v>
      </c>
      <c r="J40" s="37" t="s">
        <v>467</v>
      </c>
      <c r="K40" s="37" t="s">
        <v>601</v>
      </c>
      <c r="L40" s="37">
        <v>1</v>
      </c>
      <c r="M40" s="37">
        <f t="shared" si="1"/>
        <v>10</v>
      </c>
      <c r="N40" s="37">
        <v>20</v>
      </c>
      <c r="O40" s="63" t="s">
        <v>600</v>
      </c>
      <c r="P40" s="38">
        <v>2.35E-2</v>
      </c>
      <c r="Q40" s="38">
        <f>P40*N40</f>
        <v>0.47</v>
      </c>
      <c r="R40" s="37"/>
      <c r="S40" s="59"/>
    </row>
    <row r="41" spans="1:19" s="62" customFormat="1" ht="24" x14ac:dyDescent="0.25">
      <c r="A41" s="60"/>
      <c r="B41" s="47">
        <f t="shared" si="0"/>
        <v>32</v>
      </c>
      <c r="C41" s="54" t="s">
        <v>10</v>
      </c>
      <c r="D41" s="51" t="s">
        <v>67</v>
      </c>
      <c r="E41" s="51" t="s">
        <v>173</v>
      </c>
      <c r="F41" s="51" t="s">
        <v>262</v>
      </c>
      <c r="G41" s="51" t="s">
        <v>334</v>
      </c>
      <c r="H41" s="51" t="s">
        <v>407</v>
      </c>
      <c r="I41" s="51" t="s">
        <v>601</v>
      </c>
      <c r="J41" s="51" t="s">
        <v>468</v>
      </c>
      <c r="K41" s="51" t="s">
        <v>601</v>
      </c>
      <c r="L41" s="51">
        <v>1</v>
      </c>
      <c r="M41" s="37">
        <f t="shared" si="1"/>
        <v>10</v>
      </c>
      <c r="N41" s="51">
        <v>20</v>
      </c>
      <c r="O41" s="63" t="s">
        <v>600</v>
      </c>
      <c r="P41" s="52">
        <v>8.6400000000000005E-2</v>
      </c>
      <c r="Q41" s="52">
        <f t="shared" ref="Q41" si="16">P41*N41</f>
        <v>1.7280000000000002</v>
      </c>
      <c r="R41" s="51"/>
      <c r="S41" s="59"/>
    </row>
    <row r="42" spans="1:19" s="62" customFormat="1" ht="24" x14ac:dyDescent="0.25">
      <c r="A42" s="60"/>
      <c r="B42" s="46">
        <f>ROW(B42) - ROW($B$9)</f>
        <v>33</v>
      </c>
      <c r="C42" s="53" t="s">
        <v>10</v>
      </c>
      <c r="D42" s="37" t="s">
        <v>68</v>
      </c>
      <c r="E42" s="37" t="s">
        <v>174</v>
      </c>
      <c r="F42" s="37" t="s">
        <v>261</v>
      </c>
      <c r="G42" s="37" t="s">
        <v>335</v>
      </c>
      <c r="H42" s="37" t="s">
        <v>408</v>
      </c>
      <c r="I42" s="37" t="s">
        <v>601</v>
      </c>
      <c r="J42" s="37" t="s">
        <v>469</v>
      </c>
      <c r="K42" s="37" t="s">
        <v>601</v>
      </c>
      <c r="L42" s="37">
        <v>1</v>
      </c>
      <c r="M42" s="37">
        <f t="shared" si="1"/>
        <v>10</v>
      </c>
      <c r="N42" s="37">
        <v>20</v>
      </c>
      <c r="O42" s="63" t="s">
        <v>600</v>
      </c>
      <c r="P42" s="38">
        <v>4.6899999999999997E-2</v>
      </c>
      <c r="Q42" s="38">
        <f>P42*N42</f>
        <v>0.93799999999999994</v>
      </c>
      <c r="R42" s="37"/>
      <c r="S42" s="59"/>
    </row>
    <row r="43" spans="1:19" s="62" customFormat="1" x14ac:dyDescent="0.25">
      <c r="A43" s="60"/>
      <c r="B43" s="47">
        <f t="shared" si="0"/>
        <v>34</v>
      </c>
      <c r="C43" s="54" t="s">
        <v>10</v>
      </c>
      <c r="D43" s="51" t="s">
        <v>69</v>
      </c>
      <c r="E43" s="51" t="s">
        <v>175</v>
      </c>
      <c r="F43" s="51" t="s">
        <v>263</v>
      </c>
      <c r="G43" s="51" t="s">
        <v>336</v>
      </c>
      <c r="H43" s="51" t="s">
        <v>406</v>
      </c>
      <c r="I43" s="51" t="s">
        <v>601</v>
      </c>
      <c r="J43" s="51" t="s">
        <v>470</v>
      </c>
      <c r="K43" s="51" t="s">
        <v>601</v>
      </c>
      <c r="L43" s="51">
        <v>1</v>
      </c>
      <c r="M43" s="37">
        <f t="shared" si="1"/>
        <v>10</v>
      </c>
      <c r="N43" s="51">
        <v>15</v>
      </c>
      <c r="O43" s="63" t="s">
        <v>600</v>
      </c>
      <c r="P43" s="52">
        <v>4.5600000000000002E-2</v>
      </c>
      <c r="Q43" s="52">
        <f t="shared" ref="Q43" si="17">P43*N43</f>
        <v>0.68400000000000005</v>
      </c>
      <c r="R43" s="51"/>
      <c r="S43" s="59"/>
    </row>
    <row r="44" spans="1:19" s="62" customFormat="1" ht="24" x14ac:dyDescent="0.25">
      <c r="A44" s="60"/>
      <c r="B44" s="46">
        <f>ROW(B44) - ROW($B$9)</f>
        <v>35</v>
      </c>
      <c r="C44" s="53" t="s">
        <v>11</v>
      </c>
      <c r="D44" s="37" t="s">
        <v>621</v>
      </c>
      <c r="E44" s="37" t="s">
        <v>176</v>
      </c>
      <c r="F44" s="37" t="s">
        <v>264</v>
      </c>
      <c r="G44" s="37" t="s">
        <v>337</v>
      </c>
      <c r="H44" s="37" t="s">
        <v>409</v>
      </c>
      <c r="I44" s="37" t="s">
        <v>601</v>
      </c>
      <c r="J44" s="37" t="s">
        <v>471</v>
      </c>
      <c r="K44" s="37" t="s">
        <v>601</v>
      </c>
      <c r="L44" s="37">
        <v>2</v>
      </c>
      <c r="M44" s="37">
        <f t="shared" si="1"/>
        <v>20</v>
      </c>
      <c r="N44" s="37">
        <v>25</v>
      </c>
      <c r="O44" s="63" t="s">
        <v>600</v>
      </c>
      <c r="P44" s="38">
        <v>9.2999999999999999E-2</v>
      </c>
      <c r="Q44" s="38">
        <f>P44*N44</f>
        <v>2.3250000000000002</v>
      </c>
      <c r="R44" s="37"/>
      <c r="S44" s="59"/>
    </row>
    <row r="45" spans="1:19" s="62" customFormat="1" x14ac:dyDescent="0.25">
      <c r="A45" s="60"/>
      <c r="B45" s="46">
        <f>ROW(B45) - ROW($B$9)</f>
        <v>36</v>
      </c>
      <c r="C45" s="53" t="s">
        <v>12</v>
      </c>
      <c r="D45" s="37" t="s">
        <v>70</v>
      </c>
      <c r="E45" s="37" t="s">
        <v>177</v>
      </c>
      <c r="F45" s="37" t="s">
        <v>265</v>
      </c>
      <c r="G45" s="37" t="s">
        <v>338</v>
      </c>
      <c r="H45" s="37" t="s">
        <v>410</v>
      </c>
      <c r="I45" s="37" t="s">
        <v>601</v>
      </c>
      <c r="J45" s="37" t="s">
        <v>472</v>
      </c>
      <c r="K45" s="51" t="s">
        <v>601</v>
      </c>
      <c r="L45" s="37">
        <v>5</v>
      </c>
      <c r="M45" s="37">
        <f t="shared" si="1"/>
        <v>50</v>
      </c>
      <c r="N45" s="51">
        <v>100</v>
      </c>
      <c r="O45" s="63" t="s">
        <v>600</v>
      </c>
      <c r="P45" s="38">
        <v>5.5999999999999999E-3</v>
      </c>
      <c r="Q45" s="38">
        <f>P45*N45</f>
        <v>0.55999999999999994</v>
      </c>
      <c r="R45" s="37"/>
      <c r="S45" s="59"/>
    </row>
    <row r="46" spans="1:19" s="62" customFormat="1" ht="24" x14ac:dyDescent="0.25">
      <c r="A46" s="60"/>
      <c r="B46" s="47">
        <f t="shared" si="0"/>
        <v>37</v>
      </c>
      <c r="C46" s="54" t="s">
        <v>12</v>
      </c>
      <c r="D46" s="51" t="s">
        <v>71</v>
      </c>
      <c r="E46" s="51" t="s">
        <v>178</v>
      </c>
      <c r="F46" s="51" t="s">
        <v>266</v>
      </c>
      <c r="G46" s="51" t="s">
        <v>339</v>
      </c>
      <c r="H46" s="51" t="s">
        <v>410</v>
      </c>
      <c r="I46" s="51" t="s">
        <v>601</v>
      </c>
      <c r="J46" s="51" t="s">
        <v>473</v>
      </c>
      <c r="K46" s="37" t="s">
        <v>601</v>
      </c>
      <c r="L46" s="51">
        <v>3</v>
      </c>
      <c r="M46" s="37">
        <f t="shared" si="1"/>
        <v>30</v>
      </c>
      <c r="N46" s="37">
        <v>40</v>
      </c>
      <c r="O46" s="63" t="s">
        <v>600</v>
      </c>
      <c r="P46" s="52">
        <v>3.0599999999999999E-2</v>
      </c>
      <c r="Q46" s="52">
        <f t="shared" ref="Q46" si="18">P46*N46</f>
        <v>1.224</v>
      </c>
      <c r="R46" s="51"/>
      <c r="S46" s="59"/>
    </row>
    <row r="47" spans="1:19" s="62" customFormat="1" ht="24" x14ac:dyDescent="0.25">
      <c r="A47" s="60"/>
      <c r="B47" s="46">
        <f>ROW(B47) - ROW($B$9)</f>
        <v>38</v>
      </c>
      <c r="C47" s="53" t="s">
        <v>12</v>
      </c>
      <c r="D47" s="37" t="s">
        <v>72</v>
      </c>
      <c r="E47" s="37" t="s">
        <v>179</v>
      </c>
      <c r="F47" s="37" t="s">
        <v>267</v>
      </c>
      <c r="G47" s="37" t="s">
        <v>340</v>
      </c>
      <c r="H47" s="37" t="s">
        <v>403</v>
      </c>
      <c r="I47" s="37" t="s">
        <v>601</v>
      </c>
      <c r="J47" s="37" t="s">
        <v>474</v>
      </c>
      <c r="K47" s="37"/>
      <c r="L47" s="37">
        <v>2</v>
      </c>
      <c r="M47" s="37">
        <f t="shared" si="1"/>
        <v>20</v>
      </c>
      <c r="N47" s="51">
        <v>50</v>
      </c>
      <c r="O47" s="63" t="s">
        <v>600</v>
      </c>
      <c r="P47" s="38">
        <v>7.7000000000000002E-3</v>
      </c>
      <c r="Q47" s="38">
        <f>P47*N47</f>
        <v>0.38500000000000001</v>
      </c>
      <c r="R47" s="37"/>
      <c r="S47" s="59"/>
    </row>
    <row r="48" spans="1:19" s="62" customFormat="1" ht="25.5" x14ac:dyDescent="0.25">
      <c r="A48" s="60"/>
      <c r="B48" s="47">
        <f t="shared" si="0"/>
        <v>39</v>
      </c>
      <c r="C48" s="54" t="s">
        <v>13</v>
      </c>
      <c r="D48" s="51" t="s">
        <v>73</v>
      </c>
      <c r="E48" s="51" t="s">
        <v>180</v>
      </c>
      <c r="F48" s="51" t="s">
        <v>595</v>
      </c>
      <c r="G48" s="51" t="s">
        <v>341</v>
      </c>
      <c r="H48" s="51" t="s">
        <v>411</v>
      </c>
      <c r="I48" s="51" t="s">
        <v>601</v>
      </c>
      <c r="J48" s="51" t="s">
        <v>475</v>
      </c>
      <c r="K48" s="51"/>
      <c r="L48" s="51">
        <v>1</v>
      </c>
      <c r="M48" s="37">
        <f t="shared" si="1"/>
        <v>10</v>
      </c>
      <c r="N48" s="37">
        <v>15</v>
      </c>
      <c r="O48" s="63" t="s">
        <v>600</v>
      </c>
      <c r="P48" s="52">
        <v>0.21590000000000001</v>
      </c>
      <c r="Q48" s="52">
        <f t="shared" ref="Q48" si="19">P48*N48</f>
        <v>3.2385000000000002</v>
      </c>
      <c r="R48" s="51"/>
      <c r="S48" s="59"/>
    </row>
    <row r="49" spans="1:19" s="62" customFormat="1" ht="36" x14ac:dyDescent="0.25">
      <c r="A49" s="60"/>
      <c r="B49" s="46">
        <f>ROW(B49) - ROW($B$9)</f>
        <v>40</v>
      </c>
      <c r="C49" s="53" t="s">
        <v>23</v>
      </c>
      <c r="D49" s="37" t="s">
        <v>611</v>
      </c>
      <c r="E49" s="37" t="s">
        <v>189</v>
      </c>
      <c r="F49" s="37" t="s">
        <v>275</v>
      </c>
      <c r="G49" s="37" t="s">
        <v>275</v>
      </c>
      <c r="H49" s="37" t="s">
        <v>418</v>
      </c>
      <c r="I49" s="37" t="s">
        <v>601</v>
      </c>
      <c r="J49" s="37" t="s">
        <v>478</v>
      </c>
      <c r="K49" s="37"/>
      <c r="L49" s="37">
        <v>1</v>
      </c>
      <c r="M49" s="37">
        <f t="shared" si="1"/>
        <v>10</v>
      </c>
      <c r="N49" s="51">
        <v>20</v>
      </c>
      <c r="O49" s="63" t="s">
        <v>600</v>
      </c>
      <c r="P49" s="38">
        <v>4.6600000000000003E-2</v>
      </c>
      <c r="Q49" s="38">
        <f>P49*N49</f>
        <v>0.93200000000000005</v>
      </c>
      <c r="R49" s="37"/>
      <c r="S49" s="59"/>
    </row>
    <row r="50" spans="1:19" s="62" customFormat="1" ht="25.5" x14ac:dyDescent="0.25">
      <c r="A50" s="60"/>
      <c r="B50" s="46">
        <f>ROW(B50) - ROW($B$9)</f>
        <v>41</v>
      </c>
      <c r="C50" s="53" t="s">
        <v>14</v>
      </c>
      <c r="D50" s="37" t="s">
        <v>74</v>
      </c>
      <c r="E50" s="37" t="s">
        <v>181</v>
      </c>
      <c r="F50" s="51" t="s">
        <v>595</v>
      </c>
      <c r="G50" s="37" t="s">
        <v>268</v>
      </c>
      <c r="H50" s="37" t="s">
        <v>412</v>
      </c>
      <c r="I50" s="37" t="s">
        <v>601</v>
      </c>
      <c r="J50" s="37" t="s">
        <v>476</v>
      </c>
      <c r="K50" s="37"/>
      <c r="L50" s="37">
        <v>1</v>
      </c>
      <c r="M50" s="37">
        <f t="shared" si="1"/>
        <v>10</v>
      </c>
      <c r="N50" s="37">
        <v>15</v>
      </c>
      <c r="O50" s="63" t="s">
        <v>600</v>
      </c>
      <c r="P50" s="38">
        <v>0.2404</v>
      </c>
      <c r="Q50" s="38">
        <f>P50*N50</f>
        <v>3.6059999999999999</v>
      </c>
      <c r="R50" s="37"/>
      <c r="S50" s="59"/>
    </row>
    <row r="51" spans="1:19" s="62" customFormat="1" ht="36" x14ac:dyDescent="0.25">
      <c r="A51" s="60"/>
      <c r="B51" s="47">
        <f t="shared" si="0"/>
        <v>42</v>
      </c>
      <c r="C51" s="54" t="s">
        <v>15</v>
      </c>
      <c r="D51" s="66" t="s">
        <v>75</v>
      </c>
      <c r="E51" s="51" t="s">
        <v>655</v>
      </c>
      <c r="F51" s="51" t="s">
        <v>595</v>
      </c>
      <c r="G51" s="51" t="s">
        <v>652</v>
      </c>
      <c r="H51" s="51" t="s">
        <v>413</v>
      </c>
      <c r="I51" s="51"/>
      <c r="J51" s="51" t="s">
        <v>656</v>
      </c>
      <c r="K51" s="51" t="s">
        <v>601</v>
      </c>
      <c r="L51" s="51">
        <v>1</v>
      </c>
      <c r="M51" s="37">
        <f t="shared" si="1"/>
        <v>10</v>
      </c>
      <c r="N51" s="51">
        <v>15</v>
      </c>
      <c r="O51" s="63" t="s">
        <v>600</v>
      </c>
      <c r="P51" s="52">
        <v>8.6599999999999996E-2</v>
      </c>
      <c r="Q51" s="52">
        <f t="shared" ref="Q51" si="20">P51*N51</f>
        <v>1.2989999999999999</v>
      </c>
      <c r="R51" s="51"/>
      <c r="S51" s="59"/>
    </row>
    <row r="52" spans="1:19" s="62" customFormat="1" ht="25.5" x14ac:dyDescent="0.25">
      <c r="A52" s="60"/>
      <c r="B52" s="46">
        <f>ROW(B52) - ROW($B$9)</f>
        <v>43</v>
      </c>
      <c r="C52" s="53" t="s">
        <v>16</v>
      </c>
      <c r="D52" s="37" t="s">
        <v>76</v>
      </c>
      <c r="E52" s="37" t="s">
        <v>182</v>
      </c>
      <c r="F52" s="51" t="s">
        <v>595</v>
      </c>
      <c r="G52" s="37" t="s">
        <v>269</v>
      </c>
      <c r="H52" s="37" t="s">
        <v>412</v>
      </c>
      <c r="I52" s="37" t="s">
        <v>601</v>
      </c>
      <c r="J52" s="37"/>
      <c r="K52" s="37"/>
      <c r="L52" s="37">
        <v>1</v>
      </c>
      <c r="M52" s="37">
        <f t="shared" si="1"/>
        <v>10</v>
      </c>
      <c r="N52" s="37">
        <v>15</v>
      </c>
      <c r="O52" s="63" t="s">
        <v>600</v>
      </c>
      <c r="P52" s="38">
        <v>0.2094</v>
      </c>
      <c r="Q52" s="38">
        <f>P52*N52</f>
        <v>3.141</v>
      </c>
      <c r="R52" s="37"/>
      <c r="S52" s="59"/>
    </row>
    <row r="53" spans="1:19" s="62" customFormat="1" ht="25.5" x14ac:dyDescent="0.25">
      <c r="A53" s="60"/>
      <c r="B53" s="47">
        <f t="shared" si="0"/>
        <v>44</v>
      </c>
      <c r="C53" s="54" t="s">
        <v>17</v>
      </c>
      <c r="D53" s="51" t="s">
        <v>77</v>
      </c>
      <c r="E53" s="51" t="s">
        <v>183</v>
      </c>
      <c r="F53" s="51" t="s">
        <v>595</v>
      </c>
      <c r="G53" s="51" t="s">
        <v>270</v>
      </c>
      <c r="H53" s="51" t="s">
        <v>414</v>
      </c>
      <c r="I53" s="51" t="s">
        <v>601</v>
      </c>
      <c r="J53" s="51" t="s">
        <v>477</v>
      </c>
      <c r="K53" s="51"/>
      <c r="L53" s="51">
        <v>1</v>
      </c>
      <c r="M53" s="37">
        <f t="shared" si="1"/>
        <v>10</v>
      </c>
      <c r="N53" s="51">
        <v>15</v>
      </c>
      <c r="O53" s="63" t="s">
        <v>600</v>
      </c>
      <c r="P53" s="52">
        <v>0.25140000000000001</v>
      </c>
      <c r="Q53" s="52">
        <f t="shared" ref="Q53" si="21">P53*N53</f>
        <v>3.7710000000000004</v>
      </c>
      <c r="R53" s="51"/>
      <c r="S53" s="59"/>
    </row>
    <row r="54" spans="1:19" s="62" customFormat="1" ht="48" x14ac:dyDescent="0.25">
      <c r="A54" s="60"/>
      <c r="B54" s="46">
        <f>ROW(B54) - ROW($B$9)</f>
        <v>45</v>
      </c>
      <c r="C54" s="53" t="s">
        <v>18</v>
      </c>
      <c r="D54" s="37" t="s">
        <v>78</v>
      </c>
      <c r="E54" s="37" t="s">
        <v>184</v>
      </c>
      <c r="F54" s="37" t="s">
        <v>271</v>
      </c>
      <c r="G54" s="37" t="s">
        <v>342</v>
      </c>
      <c r="H54" s="37" t="s">
        <v>415</v>
      </c>
      <c r="I54" s="37" t="s">
        <v>601</v>
      </c>
      <c r="J54" s="37" t="s">
        <v>342</v>
      </c>
      <c r="K54" s="37"/>
      <c r="L54" s="37">
        <v>1</v>
      </c>
      <c r="M54" s="37">
        <f t="shared" si="1"/>
        <v>10</v>
      </c>
      <c r="N54" s="37">
        <v>20</v>
      </c>
      <c r="O54" s="63" t="s">
        <v>600</v>
      </c>
      <c r="P54" s="38">
        <v>4.2200000000000001E-2</v>
      </c>
      <c r="Q54" s="38">
        <f>P54*N54</f>
        <v>0.84400000000000008</v>
      </c>
      <c r="R54" s="37"/>
      <c r="S54" s="59"/>
    </row>
    <row r="55" spans="1:19" s="62" customFormat="1" x14ac:dyDescent="0.25">
      <c r="A55" s="60"/>
      <c r="B55" s="47">
        <f t="shared" si="0"/>
        <v>46</v>
      </c>
      <c r="C55" s="54" t="s">
        <v>19</v>
      </c>
      <c r="D55" s="51" t="s">
        <v>79</v>
      </c>
      <c r="E55" s="51" t="s">
        <v>185</v>
      </c>
      <c r="F55" s="51" t="s">
        <v>272</v>
      </c>
      <c r="G55" s="68">
        <v>61300311121</v>
      </c>
      <c r="H55" s="51" t="s">
        <v>416</v>
      </c>
      <c r="I55" s="51" t="s">
        <v>628</v>
      </c>
      <c r="J55" s="51" t="s">
        <v>629</v>
      </c>
      <c r="K55" s="51"/>
      <c r="L55" s="51">
        <v>3</v>
      </c>
      <c r="M55" s="37">
        <f t="shared" si="1"/>
        <v>30</v>
      </c>
      <c r="N55" s="51">
        <v>50</v>
      </c>
      <c r="O55" s="63" t="s">
        <v>600</v>
      </c>
      <c r="P55" s="52">
        <v>1.46E-2</v>
      </c>
      <c r="Q55" s="52">
        <f t="shared" ref="Q55" si="22">P55*N55</f>
        <v>0.73</v>
      </c>
      <c r="R55" s="51"/>
      <c r="S55" s="59"/>
    </row>
    <row r="56" spans="1:19" s="62" customFormat="1" ht="25.5" x14ac:dyDescent="0.25">
      <c r="A56" s="60"/>
      <c r="B56" s="46">
        <f>ROW(B56) - ROW($B$9)</f>
        <v>47</v>
      </c>
      <c r="C56" s="53" t="s">
        <v>20</v>
      </c>
      <c r="D56" s="37" t="s">
        <v>80</v>
      </c>
      <c r="E56" s="37" t="s">
        <v>186</v>
      </c>
      <c r="F56" s="37" t="s">
        <v>273</v>
      </c>
      <c r="G56" s="37" t="s">
        <v>343</v>
      </c>
      <c r="H56" s="68" t="s">
        <v>601</v>
      </c>
      <c r="I56" s="68" t="s">
        <v>601</v>
      </c>
      <c r="J56" s="68" t="s">
        <v>601</v>
      </c>
      <c r="K56" s="68" t="s">
        <v>601</v>
      </c>
      <c r="L56" s="37">
        <v>1</v>
      </c>
      <c r="M56" s="37">
        <f t="shared" si="1"/>
        <v>10</v>
      </c>
      <c r="N56" s="37" t="s">
        <v>601</v>
      </c>
      <c r="O56" s="68" t="s">
        <v>601</v>
      </c>
      <c r="P56" s="68" t="s">
        <v>601</v>
      </c>
      <c r="Q56" s="68" t="s">
        <v>601</v>
      </c>
      <c r="R56" s="68"/>
      <c r="S56" s="59"/>
    </row>
    <row r="57" spans="1:19" s="62" customFormat="1" ht="24" x14ac:dyDescent="0.25">
      <c r="A57" s="60"/>
      <c r="B57" s="47">
        <f t="shared" si="0"/>
        <v>48</v>
      </c>
      <c r="C57" s="54" t="s">
        <v>21</v>
      </c>
      <c r="D57" s="51" t="s">
        <v>81</v>
      </c>
      <c r="E57" s="51" t="s">
        <v>187</v>
      </c>
      <c r="F57" s="51" t="s">
        <v>595</v>
      </c>
      <c r="G57" s="51" t="s">
        <v>344</v>
      </c>
      <c r="H57" s="51" t="s">
        <v>415</v>
      </c>
      <c r="I57" s="51" t="s">
        <v>601</v>
      </c>
      <c r="J57" s="51" t="s">
        <v>344</v>
      </c>
      <c r="K57" s="51"/>
      <c r="L57" s="51">
        <v>1</v>
      </c>
      <c r="M57" s="37">
        <f t="shared" si="1"/>
        <v>10</v>
      </c>
      <c r="N57" s="51">
        <v>12</v>
      </c>
      <c r="O57" s="63" t="s">
        <v>600</v>
      </c>
      <c r="P57" s="52">
        <v>7.0400000000000004E-2</v>
      </c>
      <c r="Q57" s="52">
        <f t="shared" ref="Q57" si="23">P57*N57</f>
        <v>0.8448</v>
      </c>
      <c r="R57" s="51"/>
      <c r="S57" s="59"/>
    </row>
    <row r="58" spans="1:19" s="62" customFormat="1" ht="36" x14ac:dyDescent="0.25">
      <c r="A58" s="60"/>
      <c r="B58" s="46">
        <f>ROW(B58) - ROW($B$9)</f>
        <v>49</v>
      </c>
      <c r="C58" s="53" t="s">
        <v>22</v>
      </c>
      <c r="D58" s="37" t="s">
        <v>82</v>
      </c>
      <c r="E58" s="37" t="s">
        <v>188</v>
      </c>
      <c r="F58" s="51" t="s">
        <v>595</v>
      </c>
      <c r="G58" s="37" t="s">
        <v>274</v>
      </c>
      <c r="H58" s="37" t="s">
        <v>417</v>
      </c>
      <c r="I58" s="51" t="s">
        <v>601</v>
      </c>
      <c r="J58" s="37" t="s">
        <v>601</v>
      </c>
      <c r="K58" s="37" t="s">
        <v>601</v>
      </c>
      <c r="L58" s="37">
        <v>1</v>
      </c>
      <c r="M58" s="37">
        <f t="shared" si="1"/>
        <v>10</v>
      </c>
      <c r="N58" s="37">
        <v>11</v>
      </c>
      <c r="O58" s="63" t="s">
        <v>635</v>
      </c>
      <c r="P58" s="38">
        <v>2.7</v>
      </c>
      <c r="Q58" s="38">
        <f>P58*N58</f>
        <v>29.700000000000003</v>
      </c>
      <c r="R58" s="37"/>
      <c r="S58" s="59"/>
    </row>
    <row r="59" spans="1:19" s="62" customFormat="1" ht="24" x14ac:dyDescent="0.25">
      <c r="A59" s="60"/>
      <c r="B59" s="46">
        <f>ROW(B59) - ROW($B$9)</f>
        <v>50</v>
      </c>
      <c r="C59" s="53" t="s">
        <v>24</v>
      </c>
      <c r="D59" s="37" t="s">
        <v>83</v>
      </c>
      <c r="E59" s="37" t="s">
        <v>190</v>
      </c>
      <c r="F59" s="37" t="s">
        <v>276</v>
      </c>
      <c r="G59" s="37" t="s">
        <v>345</v>
      </c>
      <c r="H59" s="37" t="s">
        <v>399</v>
      </c>
      <c r="I59" s="37" t="s">
        <v>601</v>
      </c>
      <c r="J59" s="37" t="s">
        <v>479</v>
      </c>
      <c r="K59" s="37" t="s">
        <v>551</v>
      </c>
      <c r="L59" s="37">
        <v>1</v>
      </c>
      <c r="M59" s="37">
        <f t="shared" si="1"/>
        <v>10</v>
      </c>
      <c r="N59" s="51">
        <v>20</v>
      </c>
      <c r="O59" s="63" t="s">
        <v>600</v>
      </c>
      <c r="P59" s="38">
        <v>7.0300000000000001E-2</v>
      </c>
      <c r="Q59" s="38">
        <f>P59*N59</f>
        <v>1.4060000000000001</v>
      </c>
      <c r="R59" s="37"/>
      <c r="S59" s="59"/>
    </row>
    <row r="60" spans="1:19" s="62" customFormat="1" ht="24" x14ac:dyDescent="0.25">
      <c r="A60" s="60"/>
      <c r="B60" s="47">
        <f t="shared" si="0"/>
        <v>51</v>
      </c>
      <c r="C60" s="54" t="s">
        <v>24</v>
      </c>
      <c r="D60" s="51" t="s">
        <v>84</v>
      </c>
      <c r="E60" s="51" t="s">
        <v>191</v>
      </c>
      <c r="F60" s="51" t="s">
        <v>595</v>
      </c>
      <c r="G60" s="51" t="s">
        <v>277</v>
      </c>
      <c r="H60" s="51" t="s">
        <v>419</v>
      </c>
      <c r="I60" s="51" t="s">
        <v>601</v>
      </c>
      <c r="J60" s="51" t="s">
        <v>480</v>
      </c>
      <c r="K60" s="51" t="s">
        <v>552</v>
      </c>
      <c r="L60" s="51">
        <v>1</v>
      </c>
      <c r="M60" s="37">
        <f t="shared" si="1"/>
        <v>10</v>
      </c>
      <c r="N60" s="37">
        <v>15</v>
      </c>
      <c r="O60" s="63" t="s">
        <v>600</v>
      </c>
      <c r="P60" s="52">
        <v>0.20399999999999999</v>
      </c>
      <c r="Q60" s="52">
        <f t="shared" ref="Q60" si="24">P60*N60</f>
        <v>3.0599999999999996</v>
      </c>
      <c r="R60" s="51"/>
      <c r="S60" s="59"/>
    </row>
    <row r="61" spans="1:19" s="62" customFormat="1" ht="24" x14ac:dyDescent="0.25">
      <c r="A61" s="60"/>
      <c r="B61" s="46">
        <f>ROW(B61) - ROW($B$9)</f>
        <v>52</v>
      </c>
      <c r="C61" s="53" t="s">
        <v>24</v>
      </c>
      <c r="D61" s="37" t="s">
        <v>85</v>
      </c>
      <c r="E61" s="37" t="s">
        <v>192</v>
      </c>
      <c r="F61" s="37" t="s">
        <v>595</v>
      </c>
      <c r="G61" s="37" t="s">
        <v>278</v>
      </c>
      <c r="H61" s="37" t="s">
        <v>420</v>
      </c>
      <c r="I61" s="37" t="s">
        <v>601</v>
      </c>
      <c r="J61" s="37" t="s">
        <v>481</v>
      </c>
      <c r="K61" s="37" t="s">
        <v>553</v>
      </c>
      <c r="L61" s="37">
        <v>1</v>
      </c>
      <c r="M61" s="37">
        <f t="shared" si="1"/>
        <v>10</v>
      </c>
      <c r="N61" s="51">
        <v>15</v>
      </c>
      <c r="O61" s="63" t="s">
        <v>600</v>
      </c>
      <c r="P61" s="38">
        <v>0.22939999999999999</v>
      </c>
      <c r="Q61" s="38">
        <f>P61*N61</f>
        <v>3.4409999999999998</v>
      </c>
      <c r="R61" s="37"/>
      <c r="S61" s="59"/>
    </row>
    <row r="62" spans="1:19" s="62" customFormat="1" ht="24" x14ac:dyDescent="0.25">
      <c r="A62" s="60"/>
      <c r="B62" s="47">
        <f t="shared" si="0"/>
        <v>53</v>
      </c>
      <c r="C62" s="54" t="s">
        <v>25</v>
      </c>
      <c r="D62" s="51" t="s">
        <v>86</v>
      </c>
      <c r="E62" s="51" t="s">
        <v>193</v>
      </c>
      <c r="F62" s="51" t="s">
        <v>279</v>
      </c>
      <c r="G62" s="51" t="s">
        <v>346</v>
      </c>
      <c r="H62" s="51" t="s">
        <v>421</v>
      </c>
      <c r="I62" s="51" t="s">
        <v>601</v>
      </c>
      <c r="J62" s="51" t="s">
        <v>482</v>
      </c>
      <c r="K62" s="51" t="s">
        <v>601</v>
      </c>
      <c r="L62" s="51">
        <v>1</v>
      </c>
      <c r="M62" s="37">
        <f t="shared" si="1"/>
        <v>10</v>
      </c>
      <c r="N62" s="37">
        <v>20</v>
      </c>
      <c r="O62" s="63" t="s">
        <v>600</v>
      </c>
      <c r="P62" s="52">
        <v>2.4299999999999999E-2</v>
      </c>
      <c r="Q62" s="52">
        <f t="shared" ref="Q62" si="25">P62*N62</f>
        <v>0.48599999999999999</v>
      </c>
      <c r="R62" s="51"/>
      <c r="S62" s="59"/>
    </row>
    <row r="63" spans="1:19" s="62" customFormat="1" ht="24" x14ac:dyDescent="0.25">
      <c r="A63" s="60"/>
      <c r="B63" s="46">
        <f>ROW(B63) - ROW($B$9)</f>
        <v>54</v>
      </c>
      <c r="C63" s="53" t="s">
        <v>25</v>
      </c>
      <c r="D63" s="37" t="s">
        <v>87</v>
      </c>
      <c r="E63" s="37" t="s">
        <v>194</v>
      </c>
      <c r="F63" s="37" t="s">
        <v>279</v>
      </c>
      <c r="G63" s="37" t="s">
        <v>347</v>
      </c>
      <c r="H63" s="37" t="s">
        <v>421</v>
      </c>
      <c r="I63" s="37" t="s">
        <v>601</v>
      </c>
      <c r="J63" s="37" t="s">
        <v>483</v>
      </c>
      <c r="K63" s="37" t="s">
        <v>601</v>
      </c>
      <c r="L63" s="37">
        <v>2</v>
      </c>
      <c r="M63" s="37">
        <f t="shared" si="1"/>
        <v>20</v>
      </c>
      <c r="N63" s="51">
        <v>40</v>
      </c>
      <c r="O63" s="63" t="s">
        <v>600</v>
      </c>
      <c r="P63" s="38">
        <v>2.3E-2</v>
      </c>
      <c r="Q63" s="38">
        <f>P63*N63</f>
        <v>0.91999999999999993</v>
      </c>
      <c r="R63" s="37"/>
      <c r="S63" s="59"/>
    </row>
    <row r="64" spans="1:19" s="62" customFormat="1" x14ac:dyDescent="0.25">
      <c r="A64" s="60"/>
      <c r="B64" s="47">
        <f t="shared" si="0"/>
        <v>55</v>
      </c>
      <c r="C64" s="54" t="s">
        <v>25</v>
      </c>
      <c r="D64" s="51" t="s">
        <v>88</v>
      </c>
      <c r="E64" s="51" t="s">
        <v>195</v>
      </c>
      <c r="F64" s="51" t="s">
        <v>280</v>
      </c>
      <c r="G64" s="68" t="s">
        <v>348</v>
      </c>
      <c r="H64" s="51" t="s">
        <v>422</v>
      </c>
      <c r="I64" s="37" t="s">
        <v>671</v>
      </c>
      <c r="J64" s="51" t="s">
        <v>672</v>
      </c>
      <c r="K64" s="51" t="s">
        <v>601</v>
      </c>
      <c r="L64" s="51">
        <v>1</v>
      </c>
      <c r="M64" s="37">
        <f t="shared" si="1"/>
        <v>10</v>
      </c>
      <c r="N64" s="37">
        <v>50</v>
      </c>
      <c r="O64" s="63" t="s">
        <v>600</v>
      </c>
      <c r="P64" s="52">
        <v>1.54E-2</v>
      </c>
      <c r="Q64" s="52">
        <f t="shared" ref="Q64" si="26">P64*N64</f>
        <v>0.77</v>
      </c>
      <c r="R64" s="51"/>
      <c r="S64" s="59"/>
    </row>
    <row r="65" spans="1:19" s="62" customFormat="1" ht="36" x14ac:dyDescent="0.25">
      <c r="A65" s="60"/>
      <c r="B65" s="46">
        <f>ROW(B65) - ROW($B$9)</f>
        <v>56</v>
      </c>
      <c r="C65" s="54" t="s">
        <v>288</v>
      </c>
      <c r="D65" s="70" t="s">
        <v>622</v>
      </c>
      <c r="E65" s="68" t="s">
        <v>231</v>
      </c>
      <c r="F65" s="68" t="s">
        <v>595</v>
      </c>
      <c r="G65" s="68" t="s">
        <v>288</v>
      </c>
      <c r="H65" s="68" t="s">
        <v>601</v>
      </c>
      <c r="I65" s="37" t="s">
        <v>601</v>
      </c>
      <c r="J65" s="68" t="s">
        <v>601</v>
      </c>
      <c r="K65" s="68" t="s">
        <v>601</v>
      </c>
      <c r="L65" s="68">
        <v>19</v>
      </c>
      <c r="M65" s="37">
        <f t="shared" si="1"/>
        <v>190</v>
      </c>
      <c r="N65" s="51">
        <v>15</v>
      </c>
      <c r="O65" s="68" t="s">
        <v>601</v>
      </c>
      <c r="P65" s="68" t="s">
        <v>601</v>
      </c>
      <c r="Q65" s="68" t="s">
        <v>601</v>
      </c>
      <c r="R65" s="37"/>
      <c r="S65" s="59"/>
    </row>
    <row r="66" spans="1:19" s="62" customFormat="1" x14ac:dyDescent="0.25">
      <c r="A66" s="60"/>
      <c r="B66" s="47">
        <f t="shared" si="0"/>
        <v>57</v>
      </c>
      <c r="C66" s="54" t="s">
        <v>26</v>
      </c>
      <c r="D66" s="51" t="s">
        <v>89</v>
      </c>
      <c r="E66" s="51" t="s">
        <v>196</v>
      </c>
      <c r="F66" s="51" t="s">
        <v>281</v>
      </c>
      <c r="G66" s="51" t="s">
        <v>349</v>
      </c>
      <c r="H66" s="51" t="s">
        <v>423</v>
      </c>
      <c r="I66" s="51" t="s">
        <v>601</v>
      </c>
      <c r="J66" s="51" t="s">
        <v>484</v>
      </c>
      <c r="K66" s="51" t="s">
        <v>550</v>
      </c>
      <c r="L66" s="51">
        <v>1</v>
      </c>
      <c r="M66" s="37">
        <f t="shared" si="1"/>
        <v>10</v>
      </c>
      <c r="N66" s="37" t="s">
        <v>601</v>
      </c>
      <c r="O66" s="63" t="s">
        <v>600</v>
      </c>
      <c r="P66" s="52" t="s">
        <v>601</v>
      </c>
      <c r="Q66" s="52" t="s">
        <v>601</v>
      </c>
      <c r="R66" s="51"/>
      <c r="S66" s="59"/>
    </row>
    <row r="67" spans="1:19" s="62" customFormat="1" x14ac:dyDescent="0.25">
      <c r="A67" s="60"/>
      <c r="B67" s="46">
        <f>ROW(B67) - ROW($B$9)</f>
        <v>58</v>
      </c>
      <c r="C67" s="53" t="s">
        <v>26</v>
      </c>
      <c r="D67" s="37" t="s">
        <v>90</v>
      </c>
      <c r="E67" s="37" t="s">
        <v>196</v>
      </c>
      <c r="F67" s="37" t="s">
        <v>281</v>
      </c>
      <c r="G67" s="37" t="s">
        <v>349</v>
      </c>
      <c r="H67" s="37" t="s">
        <v>423</v>
      </c>
      <c r="I67" s="37" t="s">
        <v>601</v>
      </c>
      <c r="J67" s="37" t="s">
        <v>484</v>
      </c>
      <c r="K67" s="37" t="s">
        <v>601</v>
      </c>
      <c r="L67" s="37">
        <v>1</v>
      </c>
      <c r="M67" s="37">
        <f t="shared" si="1"/>
        <v>10</v>
      </c>
      <c r="N67" s="51">
        <v>15</v>
      </c>
      <c r="O67" s="63" t="s">
        <v>600</v>
      </c>
      <c r="P67" s="38">
        <v>0.1</v>
      </c>
      <c r="Q67" s="38">
        <f>P67*N67</f>
        <v>1.5</v>
      </c>
      <c r="R67" s="37"/>
      <c r="S67" s="59"/>
    </row>
    <row r="68" spans="1:19" s="62" customFormat="1" ht="48" x14ac:dyDescent="0.25">
      <c r="A68" s="60"/>
      <c r="B68" s="47">
        <f t="shared" si="0"/>
        <v>59</v>
      </c>
      <c r="C68" s="54" t="s">
        <v>26</v>
      </c>
      <c r="D68" s="51" t="s">
        <v>91</v>
      </c>
      <c r="E68" s="51" t="s">
        <v>197</v>
      </c>
      <c r="F68" s="51" t="s">
        <v>282</v>
      </c>
      <c r="G68" s="51" t="s">
        <v>350</v>
      </c>
      <c r="H68" s="51" t="s">
        <v>423</v>
      </c>
      <c r="I68" s="37" t="s">
        <v>601</v>
      </c>
      <c r="J68" s="51" t="s">
        <v>485</v>
      </c>
      <c r="K68" s="51" t="s">
        <v>601</v>
      </c>
      <c r="L68" s="51">
        <v>1</v>
      </c>
      <c r="M68" s="37">
        <f t="shared" si="1"/>
        <v>10</v>
      </c>
      <c r="N68" s="37">
        <v>15</v>
      </c>
      <c r="O68" s="63" t="s">
        <v>600</v>
      </c>
      <c r="P68" s="52">
        <v>3.3500000000000002E-2</v>
      </c>
      <c r="Q68" s="52">
        <f t="shared" ref="Q68" si="27">P68*N68</f>
        <v>0.50250000000000006</v>
      </c>
      <c r="R68" s="51"/>
      <c r="S68" s="59"/>
    </row>
    <row r="69" spans="1:19" s="62" customFormat="1" ht="36" x14ac:dyDescent="0.25">
      <c r="A69" s="60"/>
      <c r="B69" s="46">
        <f>ROW(B69) - ROW($B$9)</f>
        <v>60</v>
      </c>
      <c r="C69" s="53" t="s">
        <v>26</v>
      </c>
      <c r="D69" s="37" t="s">
        <v>92</v>
      </c>
      <c r="E69" s="37" t="s">
        <v>198</v>
      </c>
      <c r="F69" s="37" t="s">
        <v>262</v>
      </c>
      <c r="G69" s="37" t="s">
        <v>351</v>
      </c>
      <c r="H69" s="37" t="s">
        <v>407</v>
      </c>
      <c r="I69" s="51" t="s">
        <v>601</v>
      </c>
      <c r="J69" s="37" t="s">
        <v>486</v>
      </c>
      <c r="K69" s="37" t="s">
        <v>601</v>
      </c>
      <c r="L69" s="37">
        <v>2</v>
      </c>
      <c r="M69" s="37">
        <f t="shared" si="1"/>
        <v>20</v>
      </c>
      <c r="N69" s="51">
        <v>30</v>
      </c>
      <c r="O69" s="63" t="s">
        <v>600</v>
      </c>
      <c r="P69" s="38">
        <v>6.6600000000000006E-2</v>
      </c>
      <c r="Q69" s="38">
        <f>P69*N69</f>
        <v>1.9980000000000002</v>
      </c>
      <c r="R69" s="37"/>
      <c r="S69" s="59"/>
    </row>
    <row r="70" spans="1:19" s="62" customFormat="1" x14ac:dyDescent="0.25">
      <c r="A70" s="60"/>
      <c r="B70" s="47">
        <f t="shared" si="0"/>
        <v>61</v>
      </c>
      <c r="C70" s="54" t="s">
        <v>26</v>
      </c>
      <c r="D70" s="51" t="s">
        <v>93</v>
      </c>
      <c r="E70" s="51" t="s">
        <v>199</v>
      </c>
      <c r="F70" s="51" t="s">
        <v>262</v>
      </c>
      <c r="G70" s="51" t="s">
        <v>352</v>
      </c>
      <c r="H70" s="51" t="s">
        <v>423</v>
      </c>
      <c r="I70" s="51"/>
      <c r="J70" s="51" t="s">
        <v>487</v>
      </c>
      <c r="K70" s="51" t="s">
        <v>601</v>
      </c>
      <c r="L70" s="51">
        <v>1</v>
      </c>
      <c r="M70" s="37">
        <f t="shared" si="1"/>
        <v>10</v>
      </c>
      <c r="N70" s="37">
        <v>30</v>
      </c>
      <c r="O70" s="63" t="s">
        <v>600</v>
      </c>
      <c r="P70" s="52">
        <v>3.4099999999999998E-2</v>
      </c>
      <c r="Q70" s="52">
        <f t="shared" ref="Q70" si="28">P70*N70</f>
        <v>1.0229999999999999</v>
      </c>
      <c r="R70" s="51"/>
      <c r="S70" s="59"/>
    </row>
    <row r="71" spans="1:19" s="62" customFormat="1" ht="24" x14ac:dyDescent="0.25">
      <c r="A71" s="60"/>
      <c r="B71" s="46">
        <f>ROW(B71) - ROW($B$9)</f>
        <v>62</v>
      </c>
      <c r="C71" s="53" t="s">
        <v>26</v>
      </c>
      <c r="D71" s="37" t="s">
        <v>94</v>
      </c>
      <c r="E71" s="37" t="s">
        <v>200</v>
      </c>
      <c r="F71" s="37" t="s">
        <v>281</v>
      </c>
      <c r="G71" s="37" t="s">
        <v>353</v>
      </c>
      <c r="H71" s="37" t="s">
        <v>424</v>
      </c>
      <c r="I71" s="37"/>
      <c r="J71" s="37" t="s">
        <v>488</v>
      </c>
      <c r="K71" s="37" t="s">
        <v>601</v>
      </c>
      <c r="L71" s="37">
        <v>1</v>
      </c>
      <c r="M71" s="37">
        <f t="shared" si="1"/>
        <v>10</v>
      </c>
      <c r="N71" s="51">
        <v>50</v>
      </c>
      <c r="O71" s="63" t="s">
        <v>600</v>
      </c>
      <c r="P71" s="38">
        <v>1.6299999999999999E-2</v>
      </c>
      <c r="Q71" s="38">
        <f>P71*N71</f>
        <v>0.81499999999999995</v>
      </c>
      <c r="R71" s="37"/>
      <c r="S71" s="59"/>
    </row>
    <row r="72" spans="1:19" s="62" customFormat="1" x14ac:dyDescent="0.25">
      <c r="A72" s="60"/>
      <c r="B72" s="47">
        <f t="shared" si="0"/>
        <v>63</v>
      </c>
      <c r="C72" s="53" t="s">
        <v>27</v>
      </c>
      <c r="D72" s="66" t="s">
        <v>95</v>
      </c>
      <c r="E72" s="51" t="s">
        <v>201</v>
      </c>
      <c r="F72" s="51" t="s">
        <v>283</v>
      </c>
      <c r="G72" s="51" t="s">
        <v>354</v>
      </c>
      <c r="H72" s="51" t="s">
        <v>398</v>
      </c>
      <c r="I72" s="51"/>
      <c r="J72" s="51" t="s">
        <v>489</v>
      </c>
      <c r="K72" s="51" t="s">
        <v>554</v>
      </c>
      <c r="L72" s="51">
        <v>4</v>
      </c>
      <c r="M72" s="37">
        <f t="shared" si="1"/>
        <v>40</v>
      </c>
      <c r="N72" s="37">
        <v>100</v>
      </c>
      <c r="O72" s="63" t="s">
        <v>600</v>
      </c>
      <c r="P72" s="52">
        <v>1.2999999999999999E-3</v>
      </c>
      <c r="Q72" s="52">
        <f t="shared" ref="Q72" si="29">P72*N72</f>
        <v>0.13</v>
      </c>
      <c r="R72" s="51"/>
      <c r="S72" s="59"/>
    </row>
    <row r="73" spans="1:19" s="62" customFormat="1" x14ac:dyDescent="0.25">
      <c r="A73" s="60"/>
      <c r="B73" s="46">
        <f>ROW(B73) - ROW($B$9)</f>
        <v>64</v>
      </c>
      <c r="C73" s="53" t="s">
        <v>27</v>
      </c>
      <c r="D73" s="64" t="s">
        <v>96</v>
      </c>
      <c r="E73" s="37" t="s">
        <v>202</v>
      </c>
      <c r="F73" s="37" t="s">
        <v>284</v>
      </c>
      <c r="G73" s="37" t="s">
        <v>355</v>
      </c>
      <c r="H73" s="37" t="s">
        <v>398</v>
      </c>
      <c r="I73" s="37"/>
      <c r="J73" s="37" t="s">
        <v>490</v>
      </c>
      <c r="K73" s="37" t="s">
        <v>555</v>
      </c>
      <c r="L73" s="37">
        <v>2</v>
      </c>
      <c r="M73" s="37">
        <f t="shared" si="1"/>
        <v>20</v>
      </c>
      <c r="N73" s="51">
        <v>100</v>
      </c>
      <c r="O73" s="63" t="s">
        <v>600</v>
      </c>
      <c r="P73" s="38">
        <v>6.9999999999999999E-4</v>
      </c>
      <c r="Q73" s="38">
        <f>P73*N73</f>
        <v>6.9999999999999993E-2</v>
      </c>
      <c r="R73" s="37"/>
      <c r="S73" s="59"/>
    </row>
    <row r="74" spans="1:19" s="62" customFormat="1" ht="36" x14ac:dyDescent="0.25">
      <c r="A74" s="60"/>
      <c r="B74" s="47">
        <f>ROW(B74) - ROW($B$9)</f>
        <v>65</v>
      </c>
      <c r="C74" s="54" t="s">
        <v>27</v>
      </c>
      <c r="D74" s="66" t="s">
        <v>623</v>
      </c>
      <c r="E74" s="51" t="s">
        <v>205</v>
      </c>
      <c r="F74" s="51" t="s">
        <v>284</v>
      </c>
      <c r="G74" s="51" t="s">
        <v>358</v>
      </c>
      <c r="H74" s="51" t="s">
        <v>398</v>
      </c>
      <c r="I74" s="51"/>
      <c r="J74" s="51" t="s">
        <v>492</v>
      </c>
      <c r="K74" s="66" t="s">
        <v>559</v>
      </c>
      <c r="L74" s="51">
        <v>18</v>
      </c>
      <c r="M74" s="37">
        <f t="shared" si="1"/>
        <v>180</v>
      </c>
      <c r="N74" s="37">
        <v>200</v>
      </c>
      <c r="O74" s="63" t="s">
        <v>600</v>
      </c>
      <c r="P74" s="52">
        <v>5.9999999999999995E-4</v>
      </c>
      <c r="Q74" s="52">
        <f t="shared" ref="Q74:Q76" si="30">P74*N74</f>
        <v>0.12</v>
      </c>
      <c r="R74" s="51"/>
      <c r="S74" s="59"/>
    </row>
    <row r="75" spans="1:19" s="62" customFormat="1" x14ac:dyDescent="0.25">
      <c r="A75" s="60"/>
      <c r="B75" s="47">
        <f>ROW(B75) - ROW($B$9)</f>
        <v>66</v>
      </c>
      <c r="C75" s="54" t="s">
        <v>27</v>
      </c>
      <c r="D75" s="66" t="s">
        <v>624</v>
      </c>
      <c r="E75" s="51" t="s">
        <v>216</v>
      </c>
      <c r="F75" s="51" t="s">
        <v>283</v>
      </c>
      <c r="G75" s="51" t="s">
        <v>369</v>
      </c>
      <c r="H75" s="51" t="s">
        <v>398</v>
      </c>
      <c r="I75" s="51"/>
      <c r="J75" s="51" t="s">
        <v>503</v>
      </c>
      <c r="K75" s="66" t="s">
        <v>556</v>
      </c>
      <c r="L75" s="51">
        <v>6</v>
      </c>
      <c r="M75" s="37">
        <f t="shared" ref="M75:M132" si="31">L75*10</f>
        <v>60</v>
      </c>
      <c r="N75" s="51">
        <v>100</v>
      </c>
      <c r="O75" s="63" t="s">
        <v>600</v>
      </c>
      <c r="P75" s="52">
        <v>1E-3</v>
      </c>
      <c r="Q75" s="52">
        <f t="shared" si="30"/>
        <v>0.1</v>
      </c>
      <c r="R75" s="51"/>
      <c r="S75" s="59"/>
    </row>
    <row r="76" spans="1:19" s="62" customFormat="1" x14ac:dyDescent="0.25">
      <c r="A76" s="60"/>
      <c r="B76" s="47">
        <f t="shared" si="0"/>
        <v>67</v>
      </c>
      <c r="C76" s="54" t="s">
        <v>27</v>
      </c>
      <c r="D76" s="66" t="s">
        <v>97</v>
      </c>
      <c r="E76" s="51" t="s">
        <v>203</v>
      </c>
      <c r="F76" s="51" t="s">
        <v>284</v>
      </c>
      <c r="G76" s="51" t="s">
        <v>356</v>
      </c>
      <c r="H76" s="51" t="s">
        <v>398</v>
      </c>
      <c r="I76" s="51"/>
      <c r="J76" s="51" t="s">
        <v>491</v>
      </c>
      <c r="K76" s="51" t="s">
        <v>557</v>
      </c>
      <c r="L76" s="51">
        <v>2</v>
      </c>
      <c r="M76" s="37">
        <f t="shared" si="31"/>
        <v>20</v>
      </c>
      <c r="N76" s="37">
        <v>100</v>
      </c>
      <c r="O76" s="63" t="s">
        <v>600</v>
      </c>
      <c r="P76" s="52">
        <v>6.9999999999999999E-4</v>
      </c>
      <c r="Q76" s="52">
        <f t="shared" si="30"/>
        <v>6.9999999999999993E-2</v>
      </c>
      <c r="R76" s="51"/>
      <c r="S76" s="59"/>
    </row>
    <row r="77" spans="1:19" s="62" customFormat="1" x14ac:dyDescent="0.25">
      <c r="A77" s="60"/>
      <c r="B77" s="46">
        <f>ROW(B77) - ROW($B$9)</f>
        <v>68</v>
      </c>
      <c r="C77" s="54" t="s">
        <v>27</v>
      </c>
      <c r="D77" s="64" t="s">
        <v>98</v>
      </c>
      <c r="E77" s="37" t="s">
        <v>204</v>
      </c>
      <c r="F77" s="37" t="s">
        <v>284</v>
      </c>
      <c r="G77" s="37" t="s">
        <v>357</v>
      </c>
      <c r="H77" s="37" t="s">
        <v>398</v>
      </c>
      <c r="I77" s="37"/>
      <c r="J77" s="37" t="s">
        <v>620</v>
      </c>
      <c r="K77" s="37" t="s">
        <v>558</v>
      </c>
      <c r="L77" s="37">
        <v>1</v>
      </c>
      <c r="M77" s="37">
        <f t="shared" si="31"/>
        <v>10</v>
      </c>
      <c r="N77" s="51">
        <v>100</v>
      </c>
      <c r="O77" s="63" t="s">
        <v>600</v>
      </c>
      <c r="P77" s="38">
        <v>6.9999999999999999E-4</v>
      </c>
      <c r="Q77" s="38">
        <f>P77*N77</f>
        <v>6.9999999999999993E-2</v>
      </c>
      <c r="R77" s="37"/>
      <c r="S77" s="59"/>
    </row>
    <row r="78" spans="1:19" s="62" customFormat="1" x14ac:dyDescent="0.25">
      <c r="A78" s="60"/>
      <c r="B78" s="46">
        <f>ROW(B78) - ROW($B$9)</f>
        <v>69</v>
      </c>
      <c r="C78" s="53" t="s">
        <v>27</v>
      </c>
      <c r="D78" s="64" t="s">
        <v>99</v>
      </c>
      <c r="E78" s="37" t="s">
        <v>206</v>
      </c>
      <c r="F78" s="37" t="s">
        <v>283</v>
      </c>
      <c r="G78" s="37" t="s">
        <v>359</v>
      </c>
      <c r="H78" s="37" t="s">
        <v>398</v>
      </c>
      <c r="I78" s="37"/>
      <c r="J78" s="37" t="s">
        <v>493</v>
      </c>
      <c r="K78" s="37" t="s">
        <v>560</v>
      </c>
      <c r="L78" s="37">
        <v>1</v>
      </c>
      <c r="M78" s="37">
        <f t="shared" si="31"/>
        <v>10</v>
      </c>
      <c r="N78" s="37">
        <v>20</v>
      </c>
      <c r="O78" s="63" t="s">
        <v>600</v>
      </c>
      <c r="P78" s="38">
        <v>2.3199999999999998E-2</v>
      </c>
      <c r="Q78" s="38">
        <f>P78*N78</f>
        <v>0.46399999999999997</v>
      </c>
      <c r="R78" s="37"/>
      <c r="S78" s="59"/>
    </row>
    <row r="79" spans="1:19" s="62" customFormat="1" x14ac:dyDescent="0.25">
      <c r="A79" s="60"/>
      <c r="B79" s="47">
        <f t="shared" si="0"/>
        <v>70</v>
      </c>
      <c r="C79" s="54" t="s">
        <v>27</v>
      </c>
      <c r="D79" s="66" t="s">
        <v>100</v>
      </c>
      <c r="E79" s="51" t="s">
        <v>207</v>
      </c>
      <c r="F79" s="51" t="s">
        <v>283</v>
      </c>
      <c r="G79" s="51" t="s">
        <v>360</v>
      </c>
      <c r="H79" s="51" t="s">
        <v>398</v>
      </c>
      <c r="I79" s="51"/>
      <c r="J79" s="51" t="s">
        <v>494</v>
      </c>
      <c r="K79" s="51" t="s">
        <v>561</v>
      </c>
      <c r="L79" s="51">
        <v>1</v>
      </c>
      <c r="M79" s="37">
        <f t="shared" si="31"/>
        <v>10</v>
      </c>
      <c r="N79" s="51">
        <v>20</v>
      </c>
      <c r="O79" s="63" t="s">
        <v>600</v>
      </c>
      <c r="P79" s="52">
        <v>2.5000000000000001E-2</v>
      </c>
      <c r="Q79" s="52">
        <f t="shared" ref="Q79" si="32">P79*N79</f>
        <v>0.5</v>
      </c>
      <c r="R79" s="51"/>
      <c r="S79" s="59"/>
    </row>
    <row r="80" spans="1:19" s="62" customFormat="1" x14ac:dyDescent="0.25">
      <c r="A80" s="60"/>
      <c r="B80" s="46">
        <f>ROW(B80) - ROW($B$9)</f>
        <v>71</v>
      </c>
      <c r="C80" s="53" t="s">
        <v>27</v>
      </c>
      <c r="D80" s="37" t="s">
        <v>101</v>
      </c>
      <c r="E80" s="37" t="s">
        <v>208</v>
      </c>
      <c r="F80" s="37" t="s">
        <v>283</v>
      </c>
      <c r="G80" s="37" t="s">
        <v>361</v>
      </c>
      <c r="H80" s="37" t="s">
        <v>398</v>
      </c>
      <c r="I80" s="37"/>
      <c r="J80" s="37" t="s">
        <v>495</v>
      </c>
      <c r="K80" s="37" t="s">
        <v>562</v>
      </c>
      <c r="L80" s="37">
        <v>1</v>
      </c>
      <c r="M80" s="37">
        <f t="shared" si="31"/>
        <v>10</v>
      </c>
      <c r="N80" s="37">
        <v>20</v>
      </c>
      <c r="O80" s="63" t="s">
        <v>600</v>
      </c>
      <c r="P80" s="38">
        <v>1.1999999999999999E-3</v>
      </c>
      <c r="Q80" s="38">
        <f>P80*N80</f>
        <v>2.3999999999999997E-2</v>
      </c>
      <c r="R80" s="37"/>
      <c r="S80" s="59"/>
    </row>
    <row r="81" spans="1:19" s="62" customFormat="1" x14ac:dyDescent="0.25">
      <c r="A81" s="60"/>
      <c r="B81" s="47">
        <f t="shared" si="0"/>
        <v>72</v>
      </c>
      <c r="C81" s="54" t="s">
        <v>27</v>
      </c>
      <c r="D81" s="51" t="s">
        <v>102</v>
      </c>
      <c r="E81" s="51" t="s">
        <v>209</v>
      </c>
      <c r="F81" s="51" t="s">
        <v>283</v>
      </c>
      <c r="G81" s="51" t="s">
        <v>362</v>
      </c>
      <c r="H81" s="51" t="s">
        <v>398</v>
      </c>
      <c r="I81" s="51"/>
      <c r="J81" s="51" t="s">
        <v>496</v>
      </c>
      <c r="K81" s="51" t="s">
        <v>550</v>
      </c>
      <c r="L81" s="51">
        <v>1</v>
      </c>
      <c r="M81" s="37">
        <f t="shared" si="31"/>
        <v>10</v>
      </c>
      <c r="N81" s="51">
        <v>100</v>
      </c>
      <c r="O81" s="63" t="s">
        <v>600</v>
      </c>
      <c r="P81" s="52" t="s">
        <v>601</v>
      </c>
      <c r="Q81" s="52" t="s">
        <v>601</v>
      </c>
      <c r="R81" s="67" t="s">
        <v>619</v>
      </c>
      <c r="S81" s="59"/>
    </row>
    <row r="82" spans="1:19" s="62" customFormat="1" x14ac:dyDescent="0.25">
      <c r="A82" s="60"/>
      <c r="B82" s="46">
        <f>ROW(B82) - ROW($B$9)</f>
        <v>73</v>
      </c>
      <c r="C82" s="53" t="s">
        <v>27</v>
      </c>
      <c r="D82" s="37" t="s">
        <v>103</v>
      </c>
      <c r="E82" s="37" t="s">
        <v>210</v>
      </c>
      <c r="F82" s="37" t="s">
        <v>283</v>
      </c>
      <c r="G82" s="37" t="s">
        <v>363</v>
      </c>
      <c r="H82" s="37" t="s">
        <v>398</v>
      </c>
      <c r="I82" s="37"/>
      <c r="J82" s="37" t="s">
        <v>497</v>
      </c>
      <c r="K82" s="37" t="s">
        <v>563</v>
      </c>
      <c r="L82" s="37">
        <v>1</v>
      </c>
      <c r="M82" s="37">
        <f t="shared" si="31"/>
        <v>10</v>
      </c>
      <c r="N82" s="37">
        <v>100</v>
      </c>
      <c r="O82" s="63" t="s">
        <v>600</v>
      </c>
      <c r="P82" s="38">
        <v>1.4E-3</v>
      </c>
      <c r="Q82" s="38">
        <f>P82*N82</f>
        <v>0.13999999999999999</v>
      </c>
      <c r="R82" s="37"/>
      <c r="S82" s="59"/>
    </row>
    <row r="83" spans="1:19" s="62" customFormat="1" x14ac:dyDescent="0.25">
      <c r="A83" s="60"/>
      <c r="B83" s="47">
        <f t="shared" si="0"/>
        <v>74</v>
      </c>
      <c r="C83" s="54" t="s">
        <v>27</v>
      </c>
      <c r="D83" s="51" t="s">
        <v>104</v>
      </c>
      <c r="E83" s="51" t="s">
        <v>211</v>
      </c>
      <c r="F83" s="51" t="s">
        <v>283</v>
      </c>
      <c r="G83" s="51" t="s">
        <v>364</v>
      </c>
      <c r="H83" s="51" t="s">
        <v>398</v>
      </c>
      <c r="I83" s="51"/>
      <c r="J83" s="51" t="s">
        <v>498</v>
      </c>
      <c r="K83" s="51" t="s">
        <v>564</v>
      </c>
      <c r="L83" s="51">
        <v>1</v>
      </c>
      <c r="M83" s="37">
        <f t="shared" si="31"/>
        <v>10</v>
      </c>
      <c r="N83" s="51">
        <v>100</v>
      </c>
      <c r="O83" s="63" t="s">
        <v>600</v>
      </c>
      <c r="P83" s="52">
        <v>1.2999999999999999E-3</v>
      </c>
      <c r="Q83" s="52">
        <f t="shared" ref="Q83" si="33">P83*N83</f>
        <v>0.13</v>
      </c>
      <c r="R83" s="51"/>
      <c r="S83" s="59"/>
    </row>
    <row r="84" spans="1:19" s="62" customFormat="1" x14ac:dyDescent="0.25">
      <c r="A84" s="60"/>
      <c r="B84" s="46">
        <f>ROW(B84) - ROW($B$9)</f>
        <v>75</v>
      </c>
      <c r="C84" s="53" t="s">
        <v>27</v>
      </c>
      <c r="D84" s="37" t="s">
        <v>105</v>
      </c>
      <c r="E84" s="37" t="s">
        <v>212</v>
      </c>
      <c r="F84" s="37" t="s">
        <v>283</v>
      </c>
      <c r="G84" s="37" t="s">
        <v>365</v>
      </c>
      <c r="H84" s="37" t="s">
        <v>398</v>
      </c>
      <c r="I84" s="37"/>
      <c r="J84" s="37" t="s">
        <v>499</v>
      </c>
      <c r="K84" s="37" t="s">
        <v>565</v>
      </c>
      <c r="L84" s="37">
        <v>1</v>
      </c>
      <c r="M84" s="37">
        <f t="shared" si="31"/>
        <v>10</v>
      </c>
      <c r="N84" s="37">
        <v>100</v>
      </c>
      <c r="O84" s="63" t="s">
        <v>600</v>
      </c>
      <c r="P84" s="38">
        <v>1.1999999999999999E-3</v>
      </c>
      <c r="Q84" s="38">
        <f>P84*N84</f>
        <v>0.12</v>
      </c>
      <c r="R84" s="37"/>
      <c r="S84" s="59"/>
    </row>
    <row r="85" spans="1:19" s="62" customFormat="1" x14ac:dyDescent="0.25">
      <c r="A85" s="60"/>
      <c r="B85" s="47">
        <f t="shared" si="0"/>
        <v>76</v>
      </c>
      <c r="C85" s="54" t="s">
        <v>27</v>
      </c>
      <c r="D85" s="51" t="s">
        <v>106</v>
      </c>
      <c r="E85" s="51" t="s">
        <v>209</v>
      </c>
      <c r="F85" s="51" t="s">
        <v>283</v>
      </c>
      <c r="G85" s="51" t="s">
        <v>362</v>
      </c>
      <c r="H85" s="51" t="s">
        <v>398</v>
      </c>
      <c r="I85" s="51"/>
      <c r="J85" s="51" t="s">
        <v>496</v>
      </c>
      <c r="K85" s="51" t="s">
        <v>566</v>
      </c>
      <c r="L85" s="51">
        <v>1</v>
      </c>
      <c r="M85" s="37">
        <f t="shared" si="31"/>
        <v>10</v>
      </c>
      <c r="N85" s="51">
        <v>100</v>
      </c>
      <c r="O85" s="63" t="s">
        <v>600</v>
      </c>
      <c r="P85" s="52">
        <v>1.2999999999999999E-3</v>
      </c>
      <c r="Q85" s="52">
        <f t="shared" ref="Q85" si="34">P85*N85</f>
        <v>0.13</v>
      </c>
      <c r="R85" s="51"/>
      <c r="S85" s="59"/>
    </row>
    <row r="86" spans="1:19" s="62" customFormat="1" x14ac:dyDescent="0.25">
      <c r="A86" s="60"/>
      <c r="B86" s="46">
        <f>ROW(B86) - ROW($B$9)</f>
        <v>77</v>
      </c>
      <c r="C86" s="54" t="s">
        <v>27</v>
      </c>
      <c r="D86" s="37" t="s">
        <v>107</v>
      </c>
      <c r="E86" s="37" t="s">
        <v>213</v>
      </c>
      <c r="F86" s="37" t="s">
        <v>283</v>
      </c>
      <c r="G86" s="37" t="s">
        <v>366</v>
      </c>
      <c r="H86" s="37" t="s">
        <v>398</v>
      </c>
      <c r="I86" s="37"/>
      <c r="J86" s="37" t="s">
        <v>500</v>
      </c>
      <c r="K86" s="37" t="s">
        <v>567</v>
      </c>
      <c r="L86" s="37">
        <v>1</v>
      </c>
      <c r="M86" s="37">
        <f t="shared" si="31"/>
        <v>10</v>
      </c>
      <c r="N86" s="37">
        <v>100</v>
      </c>
      <c r="O86" s="63" t="s">
        <v>600</v>
      </c>
      <c r="P86" s="38">
        <v>1E-3</v>
      </c>
      <c r="Q86" s="38">
        <f>P86*N86</f>
        <v>0.1</v>
      </c>
      <c r="R86" s="37"/>
      <c r="S86" s="59"/>
    </row>
    <row r="87" spans="1:19" s="62" customFormat="1" x14ac:dyDescent="0.25">
      <c r="A87" s="60"/>
      <c r="B87" s="46">
        <f>ROW(B87) - ROW($B$9)</f>
        <v>78</v>
      </c>
      <c r="C87" s="53" t="s">
        <v>27</v>
      </c>
      <c r="D87" s="37" t="s">
        <v>108</v>
      </c>
      <c r="E87" s="37" t="s">
        <v>215</v>
      </c>
      <c r="F87" s="37" t="s">
        <v>283</v>
      </c>
      <c r="G87" s="37" t="s">
        <v>368</v>
      </c>
      <c r="H87" s="37" t="s">
        <v>398</v>
      </c>
      <c r="I87" s="37"/>
      <c r="J87" s="37" t="s">
        <v>502</v>
      </c>
      <c r="K87" s="37" t="s">
        <v>568</v>
      </c>
      <c r="L87" s="37">
        <v>3</v>
      </c>
      <c r="M87" s="37">
        <f t="shared" si="31"/>
        <v>30</v>
      </c>
      <c r="N87" s="51">
        <v>100</v>
      </c>
      <c r="O87" s="63" t="s">
        <v>600</v>
      </c>
      <c r="P87" s="38">
        <v>1.2999999999999999E-3</v>
      </c>
      <c r="Q87" s="38">
        <f>P87*N87</f>
        <v>0.13</v>
      </c>
      <c r="R87" s="37"/>
      <c r="S87" s="59"/>
    </row>
    <row r="88" spans="1:19" s="62" customFormat="1" x14ac:dyDescent="0.25">
      <c r="A88" s="60"/>
      <c r="B88" s="47">
        <f t="shared" si="0"/>
        <v>79</v>
      </c>
      <c r="C88" s="54" t="s">
        <v>27</v>
      </c>
      <c r="D88" s="37" t="s">
        <v>650</v>
      </c>
      <c r="E88" s="51" t="s">
        <v>214</v>
      </c>
      <c r="F88" s="51" t="s">
        <v>283</v>
      </c>
      <c r="G88" s="51" t="s">
        <v>367</v>
      </c>
      <c r="H88" s="51" t="s">
        <v>398</v>
      </c>
      <c r="I88" s="51"/>
      <c r="J88" s="51" t="s">
        <v>501</v>
      </c>
      <c r="K88" s="51" t="s">
        <v>559</v>
      </c>
      <c r="L88" s="51">
        <v>2</v>
      </c>
      <c r="M88" s="37">
        <f t="shared" si="31"/>
        <v>20</v>
      </c>
      <c r="N88" s="37">
        <v>100</v>
      </c>
      <c r="O88" s="63" t="s">
        <v>600</v>
      </c>
      <c r="P88" s="52">
        <v>1E-3</v>
      </c>
      <c r="Q88" s="52">
        <f t="shared" ref="Q88" si="35">P88*N88</f>
        <v>0.1</v>
      </c>
      <c r="R88" s="51"/>
      <c r="S88" s="59"/>
    </row>
    <row r="89" spans="1:19" s="62" customFormat="1" x14ac:dyDescent="0.25">
      <c r="A89" s="60"/>
      <c r="B89" s="46">
        <f>ROW(B89) - ROW($B$9)</f>
        <v>80</v>
      </c>
      <c r="C89" s="53" t="s">
        <v>27</v>
      </c>
      <c r="D89" s="37" t="s">
        <v>109</v>
      </c>
      <c r="E89" s="37" t="s">
        <v>217</v>
      </c>
      <c r="F89" s="37" t="s">
        <v>283</v>
      </c>
      <c r="G89" s="37" t="s">
        <v>370</v>
      </c>
      <c r="H89" s="37" t="s">
        <v>398</v>
      </c>
      <c r="I89" s="37"/>
      <c r="J89" s="37" t="s">
        <v>504</v>
      </c>
      <c r="K89" s="37" t="s">
        <v>569</v>
      </c>
      <c r="L89" s="37">
        <v>1</v>
      </c>
      <c r="M89" s="37">
        <f t="shared" si="31"/>
        <v>10</v>
      </c>
      <c r="N89" s="51">
        <v>100</v>
      </c>
      <c r="O89" s="63" t="s">
        <v>600</v>
      </c>
      <c r="P89" s="38">
        <v>1.2999999999999999E-3</v>
      </c>
      <c r="Q89" s="38">
        <f>P89*N89</f>
        <v>0.13</v>
      </c>
      <c r="R89" s="37"/>
      <c r="S89" s="59"/>
    </row>
    <row r="90" spans="1:19" s="62" customFormat="1" x14ac:dyDescent="0.25">
      <c r="A90" s="60"/>
      <c r="B90" s="47">
        <f t="shared" si="0"/>
        <v>81</v>
      </c>
      <c r="C90" s="53" t="s">
        <v>27</v>
      </c>
      <c r="D90" s="51" t="s">
        <v>110</v>
      </c>
      <c r="E90" s="51" t="s">
        <v>218</v>
      </c>
      <c r="F90" s="51" t="s">
        <v>284</v>
      </c>
      <c r="G90" s="68" t="s">
        <v>371</v>
      </c>
      <c r="H90" s="51" t="s">
        <v>425</v>
      </c>
      <c r="I90" s="51" t="s">
        <v>636</v>
      </c>
      <c r="J90" s="51" t="s">
        <v>637</v>
      </c>
      <c r="K90" s="51" t="s">
        <v>570</v>
      </c>
      <c r="L90" s="51">
        <v>1</v>
      </c>
      <c r="M90" s="37">
        <f t="shared" si="31"/>
        <v>10</v>
      </c>
      <c r="N90" s="37">
        <v>100</v>
      </c>
      <c r="O90" s="63" t="s">
        <v>600</v>
      </c>
      <c r="P90" s="52">
        <v>5.9999999999999995E-4</v>
      </c>
      <c r="Q90" s="52">
        <f t="shared" ref="Q90" si="36">P90*N90</f>
        <v>0.06</v>
      </c>
      <c r="R90" s="51"/>
      <c r="S90" s="59"/>
    </row>
    <row r="91" spans="1:19" s="62" customFormat="1" x14ac:dyDescent="0.25">
      <c r="A91" s="60"/>
      <c r="B91" s="46">
        <f>ROW(B91) - ROW($B$9)</f>
        <v>82</v>
      </c>
      <c r="C91" s="53" t="s">
        <v>27</v>
      </c>
      <c r="D91" s="37" t="s">
        <v>111</v>
      </c>
      <c r="E91" s="37" t="s">
        <v>219</v>
      </c>
      <c r="F91" s="37" t="s">
        <v>283</v>
      </c>
      <c r="G91" s="37" t="s">
        <v>372</v>
      </c>
      <c r="H91" s="37" t="s">
        <v>398</v>
      </c>
      <c r="I91" s="37"/>
      <c r="J91" s="37" t="s">
        <v>505</v>
      </c>
      <c r="K91" s="37" t="s">
        <v>571</v>
      </c>
      <c r="L91" s="37">
        <v>1</v>
      </c>
      <c r="M91" s="37">
        <f t="shared" si="31"/>
        <v>10</v>
      </c>
      <c r="N91" s="51">
        <v>100</v>
      </c>
      <c r="O91" s="63" t="s">
        <v>600</v>
      </c>
      <c r="P91" s="38">
        <v>1.9E-3</v>
      </c>
      <c r="Q91" s="38">
        <f>P91*N91</f>
        <v>0.19</v>
      </c>
      <c r="R91" s="37"/>
      <c r="S91" s="59"/>
    </row>
    <row r="92" spans="1:19" s="62" customFormat="1" x14ac:dyDescent="0.25">
      <c r="A92" s="60"/>
      <c r="B92" s="47">
        <f t="shared" si="0"/>
        <v>83</v>
      </c>
      <c r="C92" s="54" t="s">
        <v>27</v>
      </c>
      <c r="D92" s="51" t="s">
        <v>112</v>
      </c>
      <c r="E92" s="51" t="s">
        <v>220</v>
      </c>
      <c r="F92" s="51" t="s">
        <v>283</v>
      </c>
      <c r="G92" s="51" t="s">
        <v>373</v>
      </c>
      <c r="H92" s="51" t="s">
        <v>398</v>
      </c>
      <c r="I92" s="51"/>
      <c r="J92" s="51" t="s">
        <v>506</v>
      </c>
      <c r="K92" s="51" t="s">
        <v>572</v>
      </c>
      <c r="L92" s="51">
        <v>2</v>
      </c>
      <c r="M92" s="37">
        <f t="shared" si="31"/>
        <v>20</v>
      </c>
      <c r="N92" s="37">
        <v>100</v>
      </c>
      <c r="O92" s="63" t="s">
        <v>600</v>
      </c>
      <c r="P92" s="52">
        <v>1.1000000000000001E-3</v>
      </c>
      <c r="Q92" s="52">
        <f t="shared" ref="Q92" si="37">P92*N92</f>
        <v>0.11</v>
      </c>
      <c r="R92" s="51"/>
      <c r="S92" s="59"/>
    </row>
    <row r="93" spans="1:19" s="62" customFormat="1" x14ac:dyDescent="0.25">
      <c r="A93" s="60"/>
      <c r="B93" s="46">
        <f>ROW(B93) - ROW($B$9)</f>
        <v>84</v>
      </c>
      <c r="C93" s="53" t="s">
        <v>27</v>
      </c>
      <c r="D93" s="37" t="s">
        <v>113</v>
      </c>
      <c r="E93" s="37" t="s">
        <v>221</v>
      </c>
      <c r="F93" s="37" t="s">
        <v>283</v>
      </c>
      <c r="G93" s="37" t="s">
        <v>374</v>
      </c>
      <c r="H93" s="37" t="s">
        <v>398</v>
      </c>
      <c r="I93" s="37"/>
      <c r="J93" s="37" t="s">
        <v>507</v>
      </c>
      <c r="K93" s="37" t="s">
        <v>573</v>
      </c>
      <c r="L93" s="37">
        <v>1</v>
      </c>
      <c r="M93" s="37">
        <f t="shared" si="31"/>
        <v>10</v>
      </c>
      <c r="N93" s="51">
        <v>100</v>
      </c>
      <c r="O93" s="63" t="s">
        <v>600</v>
      </c>
      <c r="P93" s="38">
        <v>2.7000000000000001E-3</v>
      </c>
      <c r="Q93" s="38">
        <f>P93*N93</f>
        <v>0.27</v>
      </c>
      <c r="R93" s="37"/>
      <c r="S93" s="59"/>
    </row>
    <row r="94" spans="1:19" s="62" customFormat="1" x14ac:dyDescent="0.25">
      <c r="A94" s="60"/>
      <c r="B94" s="47">
        <f t="shared" si="0"/>
        <v>85</v>
      </c>
      <c r="C94" s="54" t="s">
        <v>27</v>
      </c>
      <c r="D94" s="51" t="s">
        <v>114</v>
      </c>
      <c r="E94" s="51" t="s">
        <v>222</v>
      </c>
      <c r="F94" s="51" t="s">
        <v>283</v>
      </c>
      <c r="G94" s="51" t="s">
        <v>375</v>
      </c>
      <c r="H94" s="51" t="s">
        <v>398</v>
      </c>
      <c r="I94" s="51"/>
      <c r="J94" s="51" t="s">
        <v>508</v>
      </c>
      <c r="K94" s="51" t="s">
        <v>574</v>
      </c>
      <c r="L94" s="51">
        <v>4</v>
      </c>
      <c r="M94" s="37">
        <f t="shared" si="31"/>
        <v>40</v>
      </c>
      <c r="N94" s="37">
        <v>100</v>
      </c>
      <c r="O94" s="63" t="s">
        <v>600</v>
      </c>
      <c r="P94" s="52">
        <v>1.1999999999999999E-3</v>
      </c>
      <c r="Q94" s="52">
        <f t="shared" ref="Q94" si="38">P94*N94</f>
        <v>0.12</v>
      </c>
      <c r="R94" s="51"/>
      <c r="S94" s="59"/>
    </row>
    <row r="95" spans="1:19" s="62" customFormat="1" x14ac:dyDescent="0.25">
      <c r="A95" s="60"/>
      <c r="B95" s="46">
        <f>ROW(B95) - ROW($B$9)</f>
        <v>86</v>
      </c>
      <c r="C95" s="53" t="s">
        <v>27</v>
      </c>
      <c r="D95" s="37" t="s">
        <v>115</v>
      </c>
      <c r="E95" s="37" t="s">
        <v>223</v>
      </c>
      <c r="F95" s="37" t="s">
        <v>285</v>
      </c>
      <c r="G95" s="37" t="s">
        <v>376</v>
      </c>
      <c r="H95" s="37" t="s">
        <v>398</v>
      </c>
      <c r="I95" s="37"/>
      <c r="J95" s="37" t="s">
        <v>509</v>
      </c>
      <c r="K95" s="37" t="s">
        <v>575</v>
      </c>
      <c r="L95" s="37">
        <v>1</v>
      </c>
      <c r="M95" s="37">
        <f t="shared" si="31"/>
        <v>10</v>
      </c>
      <c r="N95" s="51">
        <v>15</v>
      </c>
      <c r="O95" s="63" t="s">
        <v>600</v>
      </c>
      <c r="P95" s="38">
        <v>7.4800000000000005E-2</v>
      </c>
      <c r="Q95" s="38">
        <f>P95*N95</f>
        <v>1.1220000000000001</v>
      </c>
      <c r="R95" s="37"/>
      <c r="S95" s="59"/>
    </row>
    <row r="96" spans="1:19" s="62" customFormat="1" x14ac:dyDescent="0.25">
      <c r="A96" s="60"/>
      <c r="B96" s="47">
        <f t="shared" si="0"/>
        <v>87</v>
      </c>
      <c r="C96" s="54" t="s">
        <v>27</v>
      </c>
      <c r="D96" s="51" t="s">
        <v>116</v>
      </c>
      <c r="E96" s="51" t="s">
        <v>224</v>
      </c>
      <c r="F96" s="51" t="s">
        <v>283</v>
      </c>
      <c r="G96" s="51" t="s">
        <v>377</v>
      </c>
      <c r="H96" s="51" t="s">
        <v>398</v>
      </c>
      <c r="I96" s="51"/>
      <c r="J96" s="51" t="s">
        <v>510</v>
      </c>
      <c r="K96" s="51" t="s">
        <v>576</v>
      </c>
      <c r="L96" s="51">
        <v>1</v>
      </c>
      <c r="M96" s="37">
        <f t="shared" si="31"/>
        <v>10</v>
      </c>
      <c r="N96" s="37">
        <v>100</v>
      </c>
      <c r="O96" s="63" t="s">
        <v>600</v>
      </c>
      <c r="P96" s="52">
        <v>3.8999999999999998E-3</v>
      </c>
      <c r="Q96" s="52">
        <f t="shared" ref="Q96" si="39">P96*N96</f>
        <v>0.38999999999999996</v>
      </c>
      <c r="R96" s="51"/>
      <c r="S96" s="59"/>
    </row>
    <row r="97" spans="1:19" s="62" customFormat="1" x14ac:dyDescent="0.25">
      <c r="A97" s="60"/>
      <c r="B97" s="46">
        <f>ROW(B97) - ROW($B$9)</f>
        <v>88</v>
      </c>
      <c r="C97" s="53" t="s">
        <v>27</v>
      </c>
      <c r="D97" s="37" t="s">
        <v>117</v>
      </c>
      <c r="E97" s="37" t="s">
        <v>225</v>
      </c>
      <c r="F97" s="37" t="s">
        <v>283</v>
      </c>
      <c r="G97" s="37" t="s">
        <v>378</v>
      </c>
      <c r="H97" s="37" t="s">
        <v>398</v>
      </c>
      <c r="I97" s="37"/>
      <c r="J97" s="37" t="s">
        <v>511</v>
      </c>
      <c r="K97" s="37" t="s">
        <v>577</v>
      </c>
      <c r="L97" s="37">
        <v>4</v>
      </c>
      <c r="M97" s="37">
        <f t="shared" si="31"/>
        <v>40</v>
      </c>
      <c r="N97" s="51">
        <v>100</v>
      </c>
      <c r="O97" s="63" t="s">
        <v>600</v>
      </c>
      <c r="P97" s="38">
        <v>1.1999999999999999E-3</v>
      </c>
      <c r="Q97" s="38">
        <f>P97*N97</f>
        <v>0.12</v>
      </c>
      <c r="R97" s="37"/>
      <c r="S97" s="59"/>
    </row>
    <row r="98" spans="1:19" s="62" customFormat="1" x14ac:dyDescent="0.25">
      <c r="A98" s="60"/>
      <c r="B98" s="47">
        <f t="shared" si="0"/>
        <v>89</v>
      </c>
      <c r="C98" s="54" t="s">
        <v>27</v>
      </c>
      <c r="D98" s="51" t="s">
        <v>118</v>
      </c>
      <c r="E98" s="51" t="s">
        <v>226</v>
      </c>
      <c r="F98" s="51" t="s">
        <v>283</v>
      </c>
      <c r="G98" s="51" t="s">
        <v>379</v>
      </c>
      <c r="H98" s="51" t="s">
        <v>426</v>
      </c>
      <c r="I98" s="51"/>
      <c r="J98" s="51" t="s">
        <v>512</v>
      </c>
      <c r="K98" s="51" t="s">
        <v>578</v>
      </c>
      <c r="L98" s="51">
        <v>1</v>
      </c>
      <c r="M98" s="37">
        <f t="shared" si="31"/>
        <v>10</v>
      </c>
      <c r="N98" s="37">
        <v>20</v>
      </c>
      <c r="O98" s="63" t="s">
        <v>600</v>
      </c>
      <c r="P98" s="52">
        <v>2.3900000000000001E-2</v>
      </c>
      <c r="Q98" s="52">
        <f t="shared" ref="Q98" si="40">P98*N98</f>
        <v>0.47800000000000004</v>
      </c>
      <c r="R98" s="51"/>
      <c r="S98" s="59"/>
    </row>
    <row r="99" spans="1:19" s="62" customFormat="1" x14ac:dyDescent="0.25">
      <c r="A99" s="60"/>
      <c r="B99" s="46">
        <f>ROW(B99) - ROW($B$9)</f>
        <v>90</v>
      </c>
      <c r="C99" s="53" t="s">
        <v>27</v>
      </c>
      <c r="D99" s="37" t="s">
        <v>119</v>
      </c>
      <c r="E99" s="37" t="s">
        <v>227</v>
      </c>
      <c r="F99" s="37" t="s">
        <v>283</v>
      </c>
      <c r="G99" s="37" t="s">
        <v>380</v>
      </c>
      <c r="H99" s="37" t="s">
        <v>426</v>
      </c>
      <c r="I99" s="37"/>
      <c r="J99" s="37" t="s">
        <v>513</v>
      </c>
      <c r="K99" s="37" t="s">
        <v>579</v>
      </c>
      <c r="L99" s="37">
        <v>1</v>
      </c>
      <c r="M99" s="37">
        <f t="shared" si="31"/>
        <v>10</v>
      </c>
      <c r="N99" s="51">
        <v>20</v>
      </c>
      <c r="O99" s="63" t="s">
        <v>600</v>
      </c>
      <c r="P99" s="38">
        <v>2.3300000000000001E-2</v>
      </c>
      <c r="Q99" s="38">
        <f>P99*N99</f>
        <v>0.46600000000000003</v>
      </c>
      <c r="R99" s="37"/>
      <c r="S99" s="59"/>
    </row>
    <row r="100" spans="1:19" s="62" customFormat="1" x14ac:dyDescent="0.25">
      <c r="A100" s="60"/>
      <c r="B100" s="47">
        <f t="shared" si="0"/>
        <v>91</v>
      </c>
      <c r="C100" s="53" t="s">
        <v>27</v>
      </c>
      <c r="D100" s="51" t="s">
        <v>120</v>
      </c>
      <c r="E100" s="51" t="s">
        <v>228</v>
      </c>
      <c r="F100" s="51" t="s">
        <v>283</v>
      </c>
      <c r="G100" s="51" t="s">
        <v>381</v>
      </c>
      <c r="H100" s="51" t="s">
        <v>398</v>
      </c>
      <c r="I100" s="51"/>
      <c r="J100" s="51" t="s">
        <v>514</v>
      </c>
      <c r="K100" s="51" t="s">
        <v>580</v>
      </c>
      <c r="L100" s="51">
        <v>1</v>
      </c>
      <c r="M100" s="37">
        <f t="shared" si="31"/>
        <v>10</v>
      </c>
      <c r="N100" s="37">
        <v>100</v>
      </c>
      <c r="O100" s="63" t="s">
        <v>600</v>
      </c>
      <c r="P100" s="52">
        <v>1.2999999999999999E-3</v>
      </c>
      <c r="Q100" s="52">
        <f t="shared" ref="Q100" si="41">P100*N100</f>
        <v>0.13</v>
      </c>
      <c r="R100" s="51"/>
      <c r="S100" s="59"/>
    </row>
    <row r="101" spans="1:19" s="62" customFormat="1" ht="25.5" x14ac:dyDescent="0.25">
      <c r="A101" s="60"/>
      <c r="B101" s="46">
        <f>ROW(B101) - ROW($B$9)</f>
        <v>92</v>
      </c>
      <c r="C101" s="53" t="s">
        <v>28</v>
      </c>
      <c r="D101" s="37" t="s">
        <v>121</v>
      </c>
      <c r="E101" s="37" t="s">
        <v>229</v>
      </c>
      <c r="F101" s="51" t="s">
        <v>595</v>
      </c>
      <c r="G101" s="37" t="s">
        <v>286</v>
      </c>
      <c r="H101" s="37" t="s">
        <v>398</v>
      </c>
      <c r="I101" s="37"/>
      <c r="J101" s="37" t="s">
        <v>515</v>
      </c>
      <c r="K101" s="64" t="s">
        <v>559</v>
      </c>
      <c r="L101" s="37">
        <v>3</v>
      </c>
      <c r="M101" s="37">
        <f t="shared" si="31"/>
        <v>30</v>
      </c>
      <c r="N101" s="51">
        <v>50</v>
      </c>
      <c r="O101" s="63" t="s">
        <v>600</v>
      </c>
      <c r="P101" s="38">
        <v>8.6999999999999994E-3</v>
      </c>
      <c r="Q101" s="38">
        <f>P101*N101</f>
        <v>0.43499999999999994</v>
      </c>
      <c r="R101" s="37"/>
      <c r="S101" s="59"/>
    </row>
    <row r="102" spans="1:19" s="62" customFormat="1" x14ac:dyDescent="0.25">
      <c r="A102" s="60"/>
      <c r="B102" s="47">
        <f t="shared" si="0"/>
        <v>93</v>
      </c>
      <c r="C102" s="54" t="s">
        <v>29</v>
      </c>
      <c r="D102" s="68" t="s">
        <v>625</v>
      </c>
      <c r="E102" s="68" t="s">
        <v>230</v>
      </c>
      <c r="F102" s="68" t="s">
        <v>595</v>
      </c>
      <c r="G102" s="68" t="s">
        <v>287</v>
      </c>
      <c r="H102" s="68" t="s">
        <v>601</v>
      </c>
      <c r="I102" s="68" t="s">
        <v>601</v>
      </c>
      <c r="J102" s="68" t="s">
        <v>601</v>
      </c>
      <c r="K102" s="68" t="s">
        <v>601</v>
      </c>
      <c r="L102" s="68">
        <v>4</v>
      </c>
      <c r="M102" s="37">
        <f t="shared" si="31"/>
        <v>40</v>
      </c>
      <c r="N102" s="37">
        <v>50</v>
      </c>
      <c r="O102" s="68" t="s">
        <v>601</v>
      </c>
      <c r="P102" s="68" t="s">
        <v>601</v>
      </c>
      <c r="Q102" s="68" t="s">
        <v>601</v>
      </c>
      <c r="R102" s="68"/>
      <c r="S102" s="59"/>
    </row>
    <row r="103" spans="1:19" s="62" customFormat="1" ht="36" x14ac:dyDescent="0.25">
      <c r="A103" s="60"/>
      <c r="B103" s="46">
        <f>ROW(B103) - ROW($B$9)</f>
        <v>94</v>
      </c>
      <c r="C103" s="53" t="s">
        <v>30</v>
      </c>
      <c r="D103" s="64" t="s">
        <v>122</v>
      </c>
      <c r="E103" s="37" t="s">
        <v>660</v>
      </c>
      <c r="F103" s="37" t="s">
        <v>595</v>
      </c>
      <c r="G103" s="37" t="s">
        <v>653</v>
      </c>
      <c r="H103" s="37" t="s">
        <v>661</v>
      </c>
      <c r="I103" s="37" t="s">
        <v>601</v>
      </c>
      <c r="J103" s="37" t="s">
        <v>662</v>
      </c>
      <c r="K103" s="37" t="s">
        <v>601</v>
      </c>
      <c r="L103" s="37">
        <v>1</v>
      </c>
      <c r="M103" s="37">
        <f t="shared" si="31"/>
        <v>10</v>
      </c>
      <c r="N103" s="51">
        <v>20</v>
      </c>
      <c r="O103" s="63" t="s">
        <v>600</v>
      </c>
      <c r="P103" s="38">
        <v>5.5500000000000001E-2</v>
      </c>
      <c r="Q103" s="38">
        <f>P103*N103</f>
        <v>1.1100000000000001</v>
      </c>
      <c r="R103" s="37"/>
      <c r="S103" s="59"/>
    </row>
    <row r="104" spans="1:19" s="62" customFormat="1" ht="36" x14ac:dyDescent="0.25">
      <c r="A104" s="60"/>
      <c r="B104" s="47">
        <f t="shared" si="0"/>
        <v>95</v>
      </c>
      <c r="C104" s="54" t="s">
        <v>30</v>
      </c>
      <c r="D104" s="66" t="s">
        <v>123</v>
      </c>
      <c r="E104" s="51" t="s">
        <v>663</v>
      </c>
      <c r="F104" s="51" t="s">
        <v>595</v>
      </c>
      <c r="G104" s="51" t="s">
        <v>654</v>
      </c>
      <c r="H104" s="51" t="s">
        <v>664</v>
      </c>
      <c r="I104" s="51"/>
      <c r="J104" s="51" t="s">
        <v>665</v>
      </c>
      <c r="K104" s="51" t="s">
        <v>601</v>
      </c>
      <c r="L104" s="51">
        <v>1</v>
      </c>
      <c r="M104" s="37">
        <f t="shared" si="31"/>
        <v>10</v>
      </c>
      <c r="N104" s="37">
        <v>15</v>
      </c>
      <c r="O104" s="63" t="s">
        <v>600</v>
      </c>
      <c r="P104" s="52">
        <v>6.2399999999999997E-2</v>
      </c>
      <c r="Q104" s="52">
        <f t="shared" ref="Q104" si="42">P104*N104</f>
        <v>0.93599999999999994</v>
      </c>
      <c r="R104" s="51"/>
      <c r="S104" s="59"/>
    </row>
    <row r="105" spans="1:19" s="62" customFormat="1" ht="24" x14ac:dyDescent="0.25">
      <c r="A105" s="60"/>
      <c r="B105" s="46">
        <f>ROW(B105) - ROW($B$9)</f>
        <v>96</v>
      </c>
      <c r="C105" s="53" t="s">
        <v>612</v>
      </c>
      <c r="D105" s="64" t="s">
        <v>613</v>
      </c>
      <c r="E105" s="37" t="s">
        <v>614</v>
      </c>
      <c r="F105" s="37" t="s">
        <v>615</v>
      </c>
      <c r="G105" s="37" t="s">
        <v>615</v>
      </c>
      <c r="H105" s="37" t="s">
        <v>616</v>
      </c>
      <c r="I105" s="37" t="s">
        <v>601</v>
      </c>
      <c r="J105" s="37" t="s">
        <v>617</v>
      </c>
      <c r="K105" s="37" t="s">
        <v>601</v>
      </c>
      <c r="L105" s="37">
        <v>1</v>
      </c>
      <c r="M105" s="37">
        <f t="shared" si="31"/>
        <v>10</v>
      </c>
      <c r="N105" s="51">
        <v>11</v>
      </c>
      <c r="O105" s="63" t="s">
        <v>600</v>
      </c>
      <c r="P105" s="38">
        <v>0.2354</v>
      </c>
      <c r="Q105" s="38">
        <f>P105*N105</f>
        <v>2.5893999999999999</v>
      </c>
      <c r="R105" s="37"/>
      <c r="S105" s="59"/>
    </row>
    <row r="106" spans="1:19" s="62" customFormat="1" ht="36" x14ac:dyDescent="0.25">
      <c r="A106" s="60"/>
      <c r="B106" s="47">
        <f t="shared" si="0"/>
        <v>97</v>
      </c>
      <c r="C106" s="54" t="s">
        <v>31</v>
      </c>
      <c r="D106" s="51" t="s">
        <v>124</v>
      </c>
      <c r="E106" s="51" t="s">
        <v>232</v>
      </c>
      <c r="F106" s="51" t="s">
        <v>289</v>
      </c>
      <c r="G106" s="51" t="s">
        <v>382</v>
      </c>
      <c r="H106" s="51" t="s">
        <v>427</v>
      </c>
      <c r="I106" s="51"/>
      <c r="J106" s="51" t="s">
        <v>516</v>
      </c>
      <c r="K106" s="51" t="s">
        <v>601</v>
      </c>
      <c r="L106" s="51">
        <v>1</v>
      </c>
      <c r="M106" s="37">
        <f t="shared" si="31"/>
        <v>10</v>
      </c>
      <c r="N106" s="37">
        <v>15</v>
      </c>
      <c r="O106" s="63" t="s">
        <v>600</v>
      </c>
      <c r="P106" s="52">
        <v>8.9099999999999999E-2</v>
      </c>
      <c r="Q106" s="52">
        <f t="shared" ref="Q106" si="43">P106*N106</f>
        <v>1.3365</v>
      </c>
      <c r="R106" s="51"/>
      <c r="S106" s="59"/>
    </row>
    <row r="107" spans="1:19" s="62" customFormat="1" ht="36" x14ac:dyDescent="0.25">
      <c r="A107" s="60"/>
      <c r="B107" s="46">
        <f>ROW(B107) - ROW($B$9)</f>
        <v>98</v>
      </c>
      <c r="C107" s="53" t="s">
        <v>31</v>
      </c>
      <c r="D107" s="37" t="s">
        <v>125</v>
      </c>
      <c r="E107" s="37" t="s">
        <v>233</v>
      </c>
      <c r="F107" s="37" t="s">
        <v>289</v>
      </c>
      <c r="G107" s="37" t="s">
        <v>383</v>
      </c>
      <c r="H107" s="37" t="s">
        <v>427</v>
      </c>
      <c r="I107" s="37"/>
      <c r="J107" s="37" t="s">
        <v>517</v>
      </c>
      <c r="K107" s="37"/>
      <c r="L107" s="37">
        <v>1</v>
      </c>
      <c r="M107" s="37">
        <f t="shared" si="31"/>
        <v>10</v>
      </c>
      <c r="N107" s="51">
        <v>15</v>
      </c>
      <c r="O107" s="63" t="s">
        <v>600</v>
      </c>
      <c r="P107" s="38">
        <v>0.1041</v>
      </c>
      <c r="Q107" s="38">
        <f>P107*N107</f>
        <v>1.5614999999999999</v>
      </c>
      <c r="R107" s="37"/>
      <c r="S107" s="59"/>
    </row>
    <row r="108" spans="1:19" s="62" customFormat="1" ht="36" x14ac:dyDescent="0.25">
      <c r="A108" s="60"/>
      <c r="B108" s="47">
        <f t="shared" si="0"/>
        <v>99</v>
      </c>
      <c r="C108" s="54" t="s">
        <v>31</v>
      </c>
      <c r="D108" s="51" t="s">
        <v>126</v>
      </c>
      <c r="E108" s="51" t="s">
        <v>234</v>
      </c>
      <c r="F108" s="51" t="s">
        <v>290</v>
      </c>
      <c r="G108" s="51" t="s">
        <v>384</v>
      </c>
      <c r="H108" s="51" t="s">
        <v>428</v>
      </c>
      <c r="I108" s="51"/>
      <c r="J108" s="51" t="s">
        <v>518</v>
      </c>
      <c r="K108" s="51"/>
      <c r="L108" s="51">
        <v>1</v>
      </c>
      <c r="M108" s="37">
        <f t="shared" si="31"/>
        <v>10</v>
      </c>
      <c r="N108" s="37">
        <v>15</v>
      </c>
      <c r="O108" s="63" t="s">
        <v>600</v>
      </c>
      <c r="P108" s="52">
        <v>7.2400000000000006E-2</v>
      </c>
      <c r="Q108" s="52">
        <f t="shared" ref="Q108" si="44">P108*N108</f>
        <v>1.0860000000000001</v>
      </c>
      <c r="R108" s="51"/>
      <c r="S108" s="59"/>
    </row>
    <row r="109" spans="1:19" s="62" customFormat="1" x14ac:dyDescent="0.25">
      <c r="A109" s="60"/>
      <c r="B109" s="46">
        <f>ROW(B109) - ROW($B$9)</f>
        <v>100</v>
      </c>
      <c r="C109" s="53" t="s">
        <v>26</v>
      </c>
      <c r="D109" s="37" t="s">
        <v>127</v>
      </c>
      <c r="E109" s="37" t="s">
        <v>235</v>
      </c>
      <c r="F109" s="37" t="s">
        <v>291</v>
      </c>
      <c r="G109" s="37" t="s">
        <v>385</v>
      </c>
      <c r="H109" s="37" t="s">
        <v>429</v>
      </c>
      <c r="I109" s="37"/>
      <c r="J109" s="37" t="s">
        <v>519</v>
      </c>
      <c r="K109" s="37"/>
      <c r="L109" s="37">
        <v>1</v>
      </c>
      <c r="M109" s="37">
        <f t="shared" si="31"/>
        <v>10</v>
      </c>
      <c r="N109" s="51">
        <v>15</v>
      </c>
      <c r="O109" s="63" t="s">
        <v>600</v>
      </c>
      <c r="P109" s="38">
        <v>0.17230000000000001</v>
      </c>
      <c r="Q109" s="38">
        <f>P109*N109</f>
        <v>2.5845000000000002</v>
      </c>
      <c r="R109" s="37"/>
      <c r="S109" s="59"/>
    </row>
    <row r="110" spans="1:19" s="62" customFormat="1" x14ac:dyDescent="0.25">
      <c r="A110" s="60"/>
      <c r="B110" s="47">
        <f t="shared" si="0"/>
        <v>101</v>
      </c>
      <c r="C110" s="54" t="s">
        <v>31</v>
      </c>
      <c r="D110" s="51" t="s">
        <v>128</v>
      </c>
      <c r="E110" s="51" t="s">
        <v>236</v>
      </c>
      <c r="F110" s="51" t="s">
        <v>292</v>
      </c>
      <c r="G110" s="51" t="s">
        <v>386</v>
      </c>
      <c r="H110" s="51" t="s">
        <v>430</v>
      </c>
      <c r="I110" s="51"/>
      <c r="J110" s="51" t="s">
        <v>673</v>
      </c>
      <c r="K110" s="51"/>
      <c r="L110" s="51">
        <v>1</v>
      </c>
      <c r="M110" s="37">
        <f t="shared" si="31"/>
        <v>10</v>
      </c>
      <c r="N110" s="37">
        <v>11</v>
      </c>
      <c r="O110" s="63" t="s">
        <v>600</v>
      </c>
      <c r="P110" s="52">
        <v>0.58709999999999996</v>
      </c>
      <c r="Q110" s="52">
        <f t="shared" ref="Q110" si="45">P110*N110</f>
        <v>6.4581</v>
      </c>
      <c r="R110" s="51"/>
      <c r="S110" s="59"/>
    </row>
    <row r="111" spans="1:19" s="62" customFormat="1" ht="36" x14ac:dyDescent="0.25">
      <c r="A111" s="60"/>
      <c r="B111" s="46">
        <f>ROW(B111) - ROW($B$9)</f>
        <v>102</v>
      </c>
      <c r="C111" s="53" t="s">
        <v>31</v>
      </c>
      <c r="D111" s="37" t="s">
        <v>129</v>
      </c>
      <c r="E111" s="37" t="s">
        <v>237</v>
      </c>
      <c r="F111" s="37" t="s">
        <v>293</v>
      </c>
      <c r="G111" s="37" t="s">
        <v>387</v>
      </c>
      <c r="H111" s="37" t="s">
        <v>431</v>
      </c>
      <c r="I111" s="37"/>
      <c r="J111" s="37" t="s">
        <v>520</v>
      </c>
      <c r="K111" s="37"/>
      <c r="L111" s="37">
        <v>1</v>
      </c>
      <c r="M111" s="37">
        <f t="shared" si="31"/>
        <v>10</v>
      </c>
      <c r="N111" s="51">
        <v>15</v>
      </c>
      <c r="O111" s="63" t="s">
        <v>600</v>
      </c>
      <c r="P111" s="38">
        <v>8.5500000000000007E-2</v>
      </c>
      <c r="Q111" s="38">
        <f>P111*N111</f>
        <v>1.2825000000000002</v>
      </c>
      <c r="R111" s="37"/>
      <c r="S111" s="59"/>
    </row>
    <row r="112" spans="1:19" s="62" customFormat="1" x14ac:dyDescent="0.25">
      <c r="A112" s="60"/>
      <c r="B112" s="47">
        <f t="shared" si="0"/>
        <v>103</v>
      </c>
      <c r="C112" s="54" t="s">
        <v>32</v>
      </c>
      <c r="D112" s="51" t="s">
        <v>130</v>
      </c>
      <c r="E112" s="51" t="s">
        <v>238</v>
      </c>
      <c r="F112" s="51" t="s">
        <v>595</v>
      </c>
      <c r="G112" s="51" t="s">
        <v>294</v>
      </c>
      <c r="H112" s="51" t="s">
        <v>432</v>
      </c>
      <c r="I112" s="51"/>
      <c r="J112" s="51" t="s">
        <v>601</v>
      </c>
      <c r="K112" s="51"/>
      <c r="L112" s="51">
        <v>1</v>
      </c>
      <c r="M112" s="37">
        <f t="shared" si="31"/>
        <v>10</v>
      </c>
      <c r="N112" s="37">
        <v>11</v>
      </c>
      <c r="O112" s="63" t="s">
        <v>638</v>
      </c>
      <c r="P112" s="52">
        <v>6.7164999999999999</v>
      </c>
      <c r="Q112" s="52">
        <f t="shared" ref="Q112" si="46">P112*N112</f>
        <v>73.881500000000003</v>
      </c>
      <c r="R112" s="51"/>
      <c r="S112" s="59"/>
    </row>
    <row r="113" spans="1:19" s="62" customFormat="1" ht="36" x14ac:dyDescent="0.25">
      <c r="A113" s="60"/>
      <c r="B113" s="46">
        <f>ROW(B113) - ROW($B$9)</f>
        <v>104</v>
      </c>
      <c r="C113" s="53" t="s">
        <v>33</v>
      </c>
      <c r="D113" s="37" t="s">
        <v>131</v>
      </c>
      <c r="E113" s="37" t="s">
        <v>239</v>
      </c>
      <c r="F113" s="51" t="s">
        <v>595</v>
      </c>
      <c r="G113" s="37" t="s">
        <v>295</v>
      </c>
      <c r="H113" s="37" t="s">
        <v>433</v>
      </c>
      <c r="I113" s="37" t="s">
        <v>601</v>
      </c>
      <c r="J113" s="37" t="s">
        <v>601</v>
      </c>
      <c r="K113" s="37" t="s">
        <v>601</v>
      </c>
      <c r="L113" s="37">
        <v>1</v>
      </c>
      <c r="M113" s="37">
        <f t="shared" si="31"/>
        <v>10</v>
      </c>
      <c r="N113" s="51">
        <v>11</v>
      </c>
      <c r="O113" s="63" t="s">
        <v>638</v>
      </c>
      <c r="P113" s="38">
        <v>10.1</v>
      </c>
      <c r="Q113" s="38">
        <f>P113*N113</f>
        <v>111.1</v>
      </c>
      <c r="R113" s="65"/>
      <c r="S113" s="59"/>
    </row>
    <row r="114" spans="1:19" s="62" customFormat="1" ht="25.5" x14ac:dyDescent="0.25">
      <c r="A114" s="60"/>
      <c r="B114" s="47">
        <f t="shared" si="0"/>
        <v>105</v>
      </c>
      <c r="C114" s="54" t="s">
        <v>34</v>
      </c>
      <c r="D114" s="51" t="s">
        <v>132</v>
      </c>
      <c r="E114" s="51" t="s">
        <v>240</v>
      </c>
      <c r="F114" s="51" t="s">
        <v>595</v>
      </c>
      <c r="G114" s="51" t="s">
        <v>296</v>
      </c>
      <c r="H114" s="51" t="s">
        <v>434</v>
      </c>
      <c r="I114" s="51"/>
      <c r="J114" s="51" t="s">
        <v>521</v>
      </c>
      <c r="K114" s="51"/>
      <c r="L114" s="51">
        <v>1</v>
      </c>
      <c r="M114" s="37">
        <f t="shared" si="31"/>
        <v>10</v>
      </c>
      <c r="N114" s="37">
        <v>11</v>
      </c>
      <c r="O114" s="63" t="s">
        <v>600</v>
      </c>
      <c r="P114" s="52">
        <v>5.9278000000000004</v>
      </c>
      <c r="Q114" s="52">
        <f t="shared" ref="Q114:Q115" si="47">P114*N114</f>
        <v>65.205800000000011</v>
      </c>
      <c r="R114" s="51"/>
      <c r="S114" s="59"/>
    </row>
    <row r="115" spans="1:19" s="62" customFormat="1" x14ac:dyDescent="0.25">
      <c r="A115" s="60"/>
      <c r="B115" s="47">
        <f t="shared" si="0"/>
        <v>106</v>
      </c>
      <c r="C115" s="54" t="s">
        <v>31</v>
      </c>
      <c r="D115" s="51" t="s">
        <v>133</v>
      </c>
      <c r="E115" s="51" t="s">
        <v>241</v>
      </c>
      <c r="F115" s="51" t="s">
        <v>297</v>
      </c>
      <c r="G115" s="51" t="s">
        <v>388</v>
      </c>
      <c r="H115" s="51" t="s">
        <v>430</v>
      </c>
      <c r="I115" s="51" t="s">
        <v>601</v>
      </c>
      <c r="J115" s="51" t="s">
        <v>522</v>
      </c>
      <c r="K115" s="51"/>
      <c r="L115" s="51">
        <v>1</v>
      </c>
      <c r="M115" s="37">
        <f t="shared" si="31"/>
        <v>10</v>
      </c>
      <c r="N115" s="51">
        <v>11</v>
      </c>
      <c r="O115" s="63" t="s">
        <v>600</v>
      </c>
      <c r="P115" s="52">
        <v>0.4773</v>
      </c>
      <c r="Q115" s="52">
        <f t="shared" si="47"/>
        <v>5.2503000000000002</v>
      </c>
      <c r="R115" s="51"/>
      <c r="S115" s="59"/>
    </row>
    <row r="116" spans="1:19" s="62" customFormat="1" x14ac:dyDescent="0.25">
      <c r="A116" s="60"/>
      <c r="B116" s="46">
        <f>ROW(B116) - ROW($B$9)</f>
        <v>107</v>
      </c>
      <c r="C116" s="53" t="s">
        <v>31</v>
      </c>
      <c r="D116" s="37" t="s">
        <v>134</v>
      </c>
      <c r="E116" s="37" t="s">
        <v>242</v>
      </c>
      <c r="F116" s="37" t="s">
        <v>298</v>
      </c>
      <c r="G116" s="37" t="s">
        <v>389</v>
      </c>
      <c r="H116" s="37" t="s">
        <v>435</v>
      </c>
      <c r="I116" s="37" t="s">
        <v>601</v>
      </c>
      <c r="J116" s="37" t="s">
        <v>523</v>
      </c>
      <c r="K116" s="37"/>
      <c r="L116" s="37">
        <v>1</v>
      </c>
      <c r="M116" s="37">
        <f t="shared" si="31"/>
        <v>10</v>
      </c>
      <c r="N116" s="37">
        <v>11</v>
      </c>
      <c r="O116" s="63" t="s">
        <v>600</v>
      </c>
      <c r="P116" s="38">
        <v>0.32940000000000003</v>
      </c>
      <c r="Q116" s="38">
        <f>P116*N116</f>
        <v>3.6234000000000002</v>
      </c>
      <c r="R116" s="37"/>
      <c r="S116" s="59"/>
    </row>
    <row r="117" spans="1:19" s="62" customFormat="1" x14ac:dyDescent="0.25">
      <c r="A117" s="60"/>
      <c r="B117" s="47">
        <f t="shared" si="0"/>
        <v>108</v>
      </c>
      <c r="C117" s="54" t="s">
        <v>31</v>
      </c>
      <c r="D117" s="51" t="s">
        <v>135</v>
      </c>
      <c r="E117" s="51" t="s">
        <v>243</v>
      </c>
      <c r="F117" s="51" t="s">
        <v>299</v>
      </c>
      <c r="G117" s="51" t="s">
        <v>390</v>
      </c>
      <c r="H117" s="51" t="s">
        <v>435</v>
      </c>
      <c r="I117" s="51" t="s">
        <v>601</v>
      </c>
      <c r="J117" s="51" t="s">
        <v>524</v>
      </c>
      <c r="K117" s="51"/>
      <c r="L117" s="51">
        <v>1</v>
      </c>
      <c r="M117" s="37">
        <f t="shared" si="31"/>
        <v>10</v>
      </c>
      <c r="N117" s="51">
        <v>11</v>
      </c>
      <c r="O117" s="63" t="s">
        <v>600</v>
      </c>
      <c r="P117" s="52">
        <v>3.6623000000000001</v>
      </c>
      <c r="Q117" s="52">
        <f t="shared" ref="Q117:Q118" si="48">P117*N117</f>
        <v>40.285299999999999</v>
      </c>
      <c r="R117" s="51"/>
      <c r="S117" s="59"/>
    </row>
    <row r="118" spans="1:19" s="62" customFormat="1" x14ac:dyDescent="0.25">
      <c r="A118" s="60"/>
      <c r="B118" s="47">
        <f t="shared" si="0"/>
        <v>109</v>
      </c>
      <c r="C118" s="54" t="s">
        <v>35</v>
      </c>
      <c r="D118" s="51" t="s">
        <v>136</v>
      </c>
      <c r="E118" s="51" t="s">
        <v>244</v>
      </c>
      <c r="F118" s="51" t="s">
        <v>300</v>
      </c>
      <c r="G118" s="51" t="s">
        <v>391</v>
      </c>
      <c r="H118" s="51" t="s">
        <v>436</v>
      </c>
      <c r="I118" s="37" t="s">
        <v>601</v>
      </c>
      <c r="J118" s="51" t="s">
        <v>525</v>
      </c>
      <c r="K118" s="51"/>
      <c r="L118" s="51">
        <v>1</v>
      </c>
      <c r="M118" s="37">
        <f t="shared" si="31"/>
        <v>10</v>
      </c>
      <c r="N118" s="37">
        <v>11</v>
      </c>
      <c r="O118" s="63" t="s">
        <v>600</v>
      </c>
      <c r="P118" s="52">
        <v>4.62</v>
      </c>
      <c r="Q118" s="52">
        <f t="shared" si="48"/>
        <v>50.82</v>
      </c>
      <c r="R118" s="51"/>
      <c r="S118" s="59"/>
    </row>
    <row r="119" spans="1:19" s="62" customFormat="1" x14ac:dyDescent="0.25">
      <c r="A119" s="60"/>
      <c r="B119" s="46">
        <f>ROW(B119) - ROW($B$9)</f>
        <v>110</v>
      </c>
      <c r="C119" s="53" t="s">
        <v>31</v>
      </c>
      <c r="D119" s="37" t="s">
        <v>137</v>
      </c>
      <c r="E119" s="37" t="s">
        <v>245</v>
      </c>
      <c r="F119" s="37" t="s">
        <v>301</v>
      </c>
      <c r="G119" s="37" t="s">
        <v>392</v>
      </c>
      <c r="H119" s="37" t="s">
        <v>430</v>
      </c>
      <c r="I119" s="51" t="s">
        <v>601</v>
      </c>
      <c r="J119" s="37" t="s">
        <v>526</v>
      </c>
      <c r="K119" s="37"/>
      <c r="L119" s="37">
        <v>1</v>
      </c>
      <c r="M119" s="37">
        <f t="shared" si="31"/>
        <v>10</v>
      </c>
      <c r="N119" s="51">
        <v>11</v>
      </c>
      <c r="O119" s="63" t="s">
        <v>600</v>
      </c>
      <c r="P119" s="38">
        <v>1.6212</v>
      </c>
      <c r="Q119" s="38">
        <f>P119*N119</f>
        <v>17.833199999999998</v>
      </c>
      <c r="R119" s="37"/>
      <c r="S119" s="59"/>
    </row>
    <row r="120" spans="1:19" s="62" customFormat="1" x14ac:dyDescent="0.25">
      <c r="A120" s="60"/>
      <c r="B120" s="47">
        <f t="shared" si="0"/>
        <v>111</v>
      </c>
      <c r="C120" s="54" t="s">
        <v>31</v>
      </c>
      <c r="D120" s="66" t="s">
        <v>138</v>
      </c>
      <c r="E120" s="51" t="s">
        <v>639</v>
      </c>
      <c r="F120" s="51" t="s">
        <v>666</v>
      </c>
      <c r="G120" s="51" t="s">
        <v>640</v>
      </c>
      <c r="H120" s="51" t="s">
        <v>430</v>
      </c>
      <c r="I120" s="37" t="s">
        <v>601</v>
      </c>
      <c r="J120" s="51" t="s">
        <v>641</v>
      </c>
      <c r="K120" s="51"/>
      <c r="L120" s="51">
        <v>1</v>
      </c>
      <c r="M120" s="37">
        <f t="shared" si="31"/>
        <v>10</v>
      </c>
      <c r="N120" s="37">
        <v>11</v>
      </c>
      <c r="O120" s="63" t="s">
        <v>600</v>
      </c>
      <c r="P120" s="52">
        <v>1.8216000000000001</v>
      </c>
      <c r="Q120" s="52">
        <f t="shared" ref="Q120" si="49">P120*N120</f>
        <v>20.037600000000001</v>
      </c>
      <c r="R120" s="51"/>
      <c r="S120" s="59"/>
    </row>
    <row r="121" spans="1:19" s="62" customFormat="1" x14ac:dyDescent="0.25">
      <c r="A121" s="60"/>
      <c r="B121" s="46">
        <f>ROW(B121) - ROW($B$9)</f>
        <v>112</v>
      </c>
      <c r="C121" s="53" t="s">
        <v>36</v>
      </c>
      <c r="D121" s="37" t="s">
        <v>139</v>
      </c>
      <c r="E121" s="37" t="s">
        <v>246</v>
      </c>
      <c r="F121" s="37" t="s">
        <v>302</v>
      </c>
      <c r="G121" s="37" t="s">
        <v>393</v>
      </c>
      <c r="H121" s="37" t="s">
        <v>404</v>
      </c>
      <c r="I121" s="51" t="s">
        <v>601</v>
      </c>
      <c r="J121" s="37" t="s">
        <v>527</v>
      </c>
      <c r="K121" s="37"/>
      <c r="L121" s="37">
        <v>1</v>
      </c>
      <c r="M121" s="37">
        <f t="shared" si="31"/>
        <v>10</v>
      </c>
      <c r="N121" s="51">
        <v>11</v>
      </c>
      <c r="O121" s="63" t="s">
        <v>600</v>
      </c>
      <c r="P121" s="38">
        <v>0.43759999999999999</v>
      </c>
      <c r="Q121" s="38">
        <f>P121*N121</f>
        <v>4.8136000000000001</v>
      </c>
      <c r="R121" s="37"/>
      <c r="S121" s="59"/>
    </row>
    <row r="122" spans="1:19" s="62" customFormat="1" ht="24" x14ac:dyDescent="0.25">
      <c r="A122" s="60"/>
      <c r="B122" s="47">
        <f t="shared" si="0"/>
        <v>113</v>
      </c>
      <c r="C122" s="54" t="s">
        <v>31</v>
      </c>
      <c r="D122" s="51" t="s">
        <v>140</v>
      </c>
      <c r="E122" s="51" t="s">
        <v>247</v>
      </c>
      <c r="F122" s="51" t="s">
        <v>303</v>
      </c>
      <c r="G122" s="51" t="s">
        <v>394</v>
      </c>
      <c r="H122" s="51" t="s">
        <v>437</v>
      </c>
      <c r="I122" s="37" t="s">
        <v>601</v>
      </c>
      <c r="J122" s="51" t="s">
        <v>528</v>
      </c>
      <c r="K122" s="51"/>
      <c r="L122" s="51">
        <v>1</v>
      </c>
      <c r="M122" s="37">
        <f t="shared" si="31"/>
        <v>10</v>
      </c>
      <c r="N122" s="37">
        <v>11</v>
      </c>
      <c r="O122" s="63" t="s">
        <v>600</v>
      </c>
      <c r="P122" s="52">
        <v>0.55369999999999997</v>
      </c>
      <c r="Q122" s="52">
        <f t="shared" ref="Q122" si="50">P122*N122</f>
        <v>6.0907</v>
      </c>
      <c r="R122" s="51"/>
      <c r="S122" s="59"/>
    </row>
    <row r="123" spans="1:19" s="62" customFormat="1" x14ac:dyDescent="0.25">
      <c r="A123" s="60"/>
      <c r="B123" s="46">
        <f>ROW(B123) - ROW($B$9)</f>
        <v>114</v>
      </c>
      <c r="C123" s="53" t="s">
        <v>31</v>
      </c>
      <c r="D123" s="37" t="s">
        <v>141</v>
      </c>
      <c r="E123" s="37" t="s">
        <v>248</v>
      </c>
      <c r="F123" s="37" t="s">
        <v>304</v>
      </c>
      <c r="G123" s="37" t="s">
        <v>395</v>
      </c>
      <c r="H123" s="37" t="s">
        <v>438</v>
      </c>
      <c r="I123" s="37"/>
      <c r="J123" s="37" t="s">
        <v>529</v>
      </c>
      <c r="K123" s="37"/>
      <c r="L123" s="37">
        <v>1</v>
      </c>
      <c r="M123" s="37">
        <f t="shared" si="31"/>
        <v>10</v>
      </c>
      <c r="N123" s="51">
        <v>11</v>
      </c>
      <c r="O123" s="63" t="s">
        <v>600</v>
      </c>
      <c r="P123" s="38">
        <v>2.3816000000000002</v>
      </c>
      <c r="Q123" s="38">
        <f>P123*N123</f>
        <v>26.197600000000001</v>
      </c>
      <c r="R123" s="37"/>
      <c r="S123" s="59"/>
    </row>
    <row r="124" spans="1:19" s="62" customFormat="1" ht="24" x14ac:dyDescent="0.25">
      <c r="A124" s="60"/>
      <c r="B124" s="47">
        <f t="shared" si="0"/>
        <v>115</v>
      </c>
      <c r="C124" s="53" t="s">
        <v>37</v>
      </c>
      <c r="D124" s="51" t="s">
        <v>142</v>
      </c>
      <c r="E124" s="51" t="s">
        <v>642</v>
      </c>
      <c r="F124" s="51" t="s">
        <v>595</v>
      </c>
      <c r="G124" s="51" t="s">
        <v>645</v>
      </c>
      <c r="H124" s="51" t="s">
        <v>644</v>
      </c>
      <c r="I124" s="51" t="s">
        <v>601</v>
      </c>
      <c r="J124" s="51" t="s">
        <v>643</v>
      </c>
      <c r="K124" s="51" t="s">
        <v>646</v>
      </c>
      <c r="L124" s="51">
        <v>1</v>
      </c>
      <c r="M124" s="37">
        <f t="shared" si="31"/>
        <v>10</v>
      </c>
      <c r="N124" s="37">
        <v>15</v>
      </c>
      <c r="O124" s="63" t="s">
        <v>600</v>
      </c>
      <c r="P124" s="52">
        <v>0.26279999999999998</v>
      </c>
      <c r="Q124" s="52">
        <f t="shared" ref="Q124" si="51">P124*N124</f>
        <v>3.9419999999999997</v>
      </c>
      <c r="R124" s="51"/>
      <c r="S124" s="59"/>
    </row>
    <row r="125" spans="1:19" s="62" customFormat="1" ht="24" x14ac:dyDescent="0.25">
      <c r="A125" s="60"/>
      <c r="B125" s="46">
        <f>ROW(B125) - ROW($B$9)</f>
        <v>116</v>
      </c>
      <c r="C125" s="53" t="s">
        <v>37</v>
      </c>
      <c r="D125" s="37" t="s">
        <v>143</v>
      </c>
      <c r="E125" s="37" t="s">
        <v>249</v>
      </c>
      <c r="F125" s="37" t="s">
        <v>305</v>
      </c>
      <c r="G125" s="37" t="s">
        <v>396</v>
      </c>
      <c r="H125" s="37" t="s">
        <v>439</v>
      </c>
      <c r="I125" s="37"/>
      <c r="J125" s="37" t="s">
        <v>530</v>
      </c>
      <c r="K125" s="37" t="s">
        <v>581</v>
      </c>
      <c r="L125" s="37">
        <v>1</v>
      </c>
      <c r="M125" s="37">
        <f t="shared" si="31"/>
        <v>10</v>
      </c>
      <c r="N125" s="51">
        <v>15</v>
      </c>
      <c r="O125" s="63" t="s">
        <v>600</v>
      </c>
      <c r="P125" s="38">
        <v>0.18029999999999999</v>
      </c>
      <c r="Q125" s="38">
        <f>P125*N125</f>
        <v>2.7044999999999999</v>
      </c>
      <c r="R125" s="37"/>
      <c r="S125" s="59"/>
    </row>
    <row r="126" spans="1:19" s="62" customFormat="1" x14ac:dyDescent="0.25">
      <c r="A126" s="60"/>
      <c r="B126" s="47">
        <f t="shared" si="0"/>
        <v>117</v>
      </c>
      <c r="C126" s="54" t="s">
        <v>37</v>
      </c>
      <c r="D126" s="51" t="s">
        <v>144</v>
      </c>
      <c r="E126" s="51" t="s">
        <v>250</v>
      </c>
      <c r="F126" s="51" t="s">
        <v>595</v>
      </c>
      <c r="G126" s="51" t="s">
        <v>306</v>
      </c>
      <c r="H126" s="51" t="s">
        <v>440</v>
      </c>
      <c r="I126" s="51"/>
      <c r="J126" s="51" t="s">
        <v>531</v>
      </c>
      <c r="K126" s="51" t="s">
        <v>582</v>
      </c>
      <c r="L126" s="51">
        <v>1</v>
      </c>
      <c r="M126" s="37">
        <f t="shared" si="31"/>
        <v>10</v>
      </c>
      <c r="N126" s="37">
        <v>15</v>
      </c>
      <c r="O126" s="63" t="s">
        <v>600</v>
      </c>
      <c r="P126" s="52">
        <v>0.26590000000000003</v>
      </c>
      <c r="Q126" s="52">
        <f t="shared" ref="Q126:Q127" si="52">P126*N126</f>
        <v>3.9885000000000002</v>
      </c>
      <c r="R126" s="51"/>
      <c r="S126" s="59"/>
    </row>
    <row r="127" spans="1:19" s="62" customFormat="1" ht="48" x14ac:dyDescent="0.25">
      <c r="A127" s="60"/>
      <c r="B127" s="47">
        <f t="shared" si="0"/>
        <v>118</v>
      </c>
      <c r="C127" s="54" t="s">
        <v>630</v>
      </c>
      <c r="D127" s="51" t="s">
        <v>601</v>
      </c>
      <c r="E127" s="51" t="s">
        <v>667</v>
      </c>
      <c r="F127" s="51" t="s">
        <v>601</v>
      </c>
      <c r="G127" s="51" t="s">
        <v>631</v>
      </c>
      <c r="H127" s="51" t="s">
        <v>601</v>
      </c>
      <c r="I127" s="51" t="s">
        <v>601</v>
      </c>
      <c r="J127" s="51" t="s">
        <v>601</v>
      </c>
      <c r="K127" s="51" t="s">
        <v>601</v>
      </c>
      <c r="L127" s="51">
        <v>1</v>
      </c>
      <c r="M127" s="37">
        <f t="shared" si="31"/>
        <v>10</v>
      </c>
      <c r="N127" s="51">
        <v>10</v>
      </c>
      <c r="O127" s="63" t="s">
        <v>635</v>
      </c>
      <c r="P127" s="52">
        <v>2.5</v>
      </c>
      <c r="Q127" s="52">
        <f t="shared" si="52"/>
        <v>25</v>
      </c>
      <c r="R127" s="51"/>
      <c r="S127" s="59"/>
    </row>
    <row r="128" spans="1:19" s="62" customFormat="1" ht="24" x14ac:dyDescent="0.25">
      <c r="A128" s="60"/>
      <c r="B128" s="47">
        <f t="shared" ref="B128:B130" si="53">ROW(B128) - ROW($B$9)</f>
        <v>119</v>
      </c>
      <c r="C128" s="54" t="s">
        <v>630</v>
      </c>
      <c r="D128" s="51" t="s">
        <v>601</v>
      </c>
      <c r="E128" s="51" t="s">
        <v>634</v>
      </c>
      <c r="F128" s="51" t="s">
        <v>601</v>
      </c>
      <c r="G128" s="51" t="s">
        <v>632</v>
      </c>
      <c r="H128" s="51" t="s">
        <v>601</v>
      </c>
      <c r="I128" s="51" t="s">
        <v>601</v>
      </c>
      <c r="J128" s="51" t="s">
        <v>601</v>
      </c>
      <c r="K128" s="51" t="s">
        <v>601</v>
      </c>
      <c r="L128" s="51">
        <v>1</v>
      </c>
      <c r="M128" s="37">
        <f t="shared" si="31"/>
        <v>10</v>
      </c>
      <c r="N128" s="37">
        <v>15</v>
      </c>
      <c r="O128" s="63"/>
      <c r="P128" s="52"/>
      <c r="Q128" s="52"/>
      <c r="R128" s="67" t="s">
        <v>668</v>
      </c>
      <c r="S128" s="59"/>
    </row>
    <row r="129" spans="1:19" s="62" customFormat="1" ht="24" x14ac:dyDescent="0.25">
      <c r="A129" s="60"/>
      <c r="B129" s="47">
        <f t="shared" si="53"/>
        <v>120</v>
      </c>
      <c r="C129" s="54" t="s">
        <v>630</v>
      </c>
      <c r="D129" s="51" t="s">
        <v>601</v>
      </c>
      <c r="E129" s="51" t="s">
        <v>634</v>
      </c>
      <c r="F129" s="51" t="s">
        <v>601</v>
      </c>
      <c r="G129" s="51" t="s">
        <v>633</v>
      </c>
      <c r="H129" s="51" t="s">
        <v>601</v>
      </c>
      <c r="I129" s="51" t="s">
        <v>601</v>
      </c>
      <c r="J129" s="51" t="s">
        <v>601</v>
      </c>
      <c r="K129" s="51" t="s">
        <v>601</v>
      </c>
      <c r="L129" s="51">
        <v>1</v>
      </c>
      <c r="M129" s="37">
        <f t="shared" si="31"/>
        <v>10</v>
      </c>
      <c r="N129" s="51">
        <v>15</v>
      </c>
      <c r="O129" s="63"/>
      <c r="P129" s="52"/>
      <c r="Q129" s="52"/>
      <c r="R129" s="67" t="s">
        <v>668</v>
      </c>
      <c r="S129" s="59"/>
    </row>
    <row r="130" spans="1:19" ht="15.75" thickBot="1" x14ac:dyDescent="0.3">
      <c r="A130" s="1"/>
      <c r="B130" s="47">
        <f t="shared" si="53"/>
        <v>121</v>
      </c>
      <c r="C130" s="54" t="s">
        <v>630</v>
      </c>
      <c r="D130" s="51" t="s">
        <v>601</v>
      </c>
      <c r="E130" s="51"/>
      <c r="F130" s="51" t="s">
        <v>601</v>
      </c>
      <c r="G130" s="51" t="s">
        <v>669</v>
      </c>
      <c r="H130" s="51" t="s">
        <v>601</v>
      </c>
      <c r="I130" s="51" t="s">
        <v>601</v>
      </c>
      <c r="J130" s="51" t="s">
        <v>601</v>
      </c>
      <c r="K130" s="51" t="s">
        <v>601</v>
      </c>
      <c r="L130" s="51">
        <v>1</v>
      </c>
      <c r="M130" s="37">
        <f t="shared" si="31"/>
        <v>10</v>
      </c>
      <c r="N130" s="51">
        <v>11</v>
      </c>
      <c r="O130" s="63"/>
      <c r="P130" s="52"/>
      <c r="Q130" s="52"/>
      <c r="R130" s="67" t="s">
        <v>670</v>
      </c>
      <c r="S130" s="39"/>
    </row>
    <row r="131" spans="1:19" ht="19.5" thickBot="1" x14ac:dyDescent="0.3">
      <c r="A131" s="1"/>
      <c r="B131" s="40"/>
      <c r="C131" s="41"/>
      <c r="D131" s="42"/>
      <c r="E131" s="43"/>
      <c r="F131" s="44"/>
      <c r="G131" s="45"/>
      <c r="H131" s="44"/>
      <c r="I131" s="45"/>
      <c r="J131" s="44"/>
      <c r="K131" s="45"/>
      <c r="L131" s="45"/>
      <c r="M131" s="45"/>
      <c r="N131" s="79" t="s">
        <v>5</v>
      </c>
      <c r="O131" s="80"/>
      <c r="P131" s="80"/>
      <c r="Q131" s="48">
        <f>SUM(Q10:Q130)</f>
        <v>622.81700000000001</v>
      </c>
      <c r="R131" s="45"/>
      <c r="S131" s="45"/>
    </row>
    <row r="132" spans="1:19" ht="19.5" thickBot="1" x14ac:dyDescent="0.3">
      <c r="A132" s="1"/>
      <c r="B132" s="25"/>
      <c r="C132" s="36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79" t="s">
        <v>6</v>
      </c>
      <c r="O132" s="80"/>
      <c r="P132" s="80"/>
      <c r="Q132" s="49">
        <f>Q131/10</f>
        <v>62.281700000000001</v>
      </c>
      <c r="R132" s="10"/>
      <c r="S132" s="10"/>
    </row>
    <row r="133" spans="1:19" x14ac:dyDescent="0.25">
      <c r="A133" s="1"/>
    </row>
    <row r="134" spans="1:19" x14ac:dyDescent="0.25">
      <c r="A134" s="1"/>
    </row>
  </sheetData>
  <mergeCells count="4">
    <mergeCell ref="N131:P131"/>
    <mergeCell ref="N132:P132"/>
    <mergeCell ref="K1:S1"/>
    <mergeCell ref="S3:S8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25" r:id="rId8"/>
    <hyperlink ref="O18" r:id="rId9"/>
    <hyperlink ref="O19" r:id="rId10"/>
    <hyperlink ref="O20" r:id="rId11"/>
    <hyperlink ref="O22" r:id="rId12"/>
    <hyperlink ref="O23" r:id="rId13"/>
    <hyperlink ref="O24" r:id="rId14"/>
    <hyperlink ref="O26" r:id="rId15"/>
    <hyperlink ref="O27" r:id="rId16"/>
    <hyperlink ref="O17" r:id="rId17"/>
    <hyperlink ref="O28" r:id="rId18"/>
    <hyperlink ref="O29" r:id="rId19"/>
    <hyperlink ref="O30" r:id="rId20"/>
    <hyperlink ref="O32" r:id="rId21"/>
    <hyperlink ref="O33" r:id="rId22"/>
    <hyperlink ref="O34" r:id="rId23"/>
    <hyperlink ref="O35" r:id="rId24"/>
    <hyperlink ref="O36" r:id="rId25"/>
    <hyperlink ref="O37" r:id="rId26"/>
    <hyperlink ref="O38" r:id="rId27"/>
    <hyperlink ref="O39" r:id="rId28"/>
    <hyperlink ref="O40" r:id="rId29"/>
    <hyperlink ref="O41" r:id="rId30"/>
    <hyperlink ref="O42" r:id="rId31"/>
    <hyperlink ref="O43" r:id="rId32"/>
    <hyperlink ref="O44" r:id="rId33"/>
    <hyperlink ref="O45" r:id="rId34"/>
    <hyperlink ref="O46" r:id="rId35"/>
    <hyperlink ref="O47" r:id="rId36"/>
    <hyperlink ref="O48" r:id="rId37"/>
    <hyperlink ref="O49" r:id="rId38"/>
    <hyperlink ref="O50" r:id="rId39"/>
    <hyperlink ref="O53" r:id="rId40"/>
    <hyperlink ref="O52" r:id="rId41"/>
    <hyperlink ref="O54" r:id="rId42"/>
    <hyperlink ref="O57" r:id="rId43"/>
    <hyperlink ref="O59" r:id="rId44"/>
    <hyperlink ref="O60" r:id="rId45"/>
    <hyperlink ref="O61" r:id="rId46"/>
    <hyperlink ref="O62" r:id="rId47"/>
    <hyperlink ref="O63" r:id="rId48"/>
    <hyperlink ref="O67" r:id="rId49"/>
    <hyperlink ref="O66" r:id="rId50"/>
    <hyperlink ref="O68" r:id="rId51"/>
    <hyperlink ref="O69" r:id="rId52"/>
    <hyperlink ref="O70" r:id="rId53"/>
    <hyperlink ref="O71" r:id="rId54"/>
    <hyperlink ref="O72" r:id="rId55"/>
    <hyperlink ref="O73" r:id="rId56"/>
    <hyperlink ref="O76" r:id="rId57"/>
    <hyperlink ref="O77" r:id="rId58"/>
    <hyperlink ref="O74" r:id="rId59"/>
    <hyperlink ref="O78" r:id="rId60"/>
    <hyperlink ref="O79" r:id="rId61"/>
    <hyperlink ref="O80" r:id="rId62"/>
    <hyperlink ref="O81" r:id="rId63"/>
    <hyperlink ref="O82" r:id="rId64"/>
    <hyperlink ref="O83" r:id="rId65"/>
    <hyperlink ref="O84" r:id="rId66"/>
    <hyperlink ref="O85" r:id="rId67"/>
    <hyperlink ref="O86" r:id="rId68"/>
    <hyperlink ref="O88" r:id="rId69"/>
    <hyperlink ref="O87" r:id="rId70"/>
    <hyperlink ref="O75" r:id="rId71"/>
    <hyperlink ref="O89" r:id="rId72"/>
    <hyperlink ref="O91" r:id="rId73"/>
    <hyperlink ref="O92" r:id="rId74"/>
    <hyperlink ref="O93" r:id="rId75"/>
    <hyperlink ref="O94" r:id="rId76"/>
    <hyperlink ref="O95" r:id="rId77"/>
    <hyperlink ref="O96" r:id="rId78"/>
    <hyperlink ref="O97" r:id="rId79"/>
    <hyperlink ref="O98" r:id="rId80"/>
    <hyperlink ref="O99" r:id="rId81"/>
    <hyperlink ref="O100" r:id="rId82"/>
    <hyperlink ref="O101" r:id="rId83"/>
    <hyperlink ref="O105" r:id="rId84"/>
    <hyperlink ref="O106" r:id="rId85"/>
    <hyperlink ref="O107" r:id="rId86"/>
    <hyperlink ref="O108" r:id="rId87"/>
    <hyperlink ref="O109" r:id="rId88"/>
    <hyperlink ref="O111" r:id="rId89"/>
    <hyperlink ref="O114" r:id="rId90"/>
    <hyperlink ref="O115" r:id="rId91"/>
    <hyperlink ref="O116" r:id="rId92"/>
    <hyperlink ref="O117" r:id="rId93"/>
    <hyperlink ref="O118" r:id="rId94"/>
    <hyperlink ref="O119" r:id="rId95"/>
    <hyperlink ref="O121" r:id="rId96"/>
    <hyperlink ref="O122" r:id="rId97"/>
    <hyperlink ref="O123" r:id="rId98"/>
    <hyperlink ref="O125" r:id="rId99"/>
    <hyperlink ref="O126" r:id="rId100"/>
    <hyperlink ref="O21" r:id="rId101"/>
    <hyperlink ref="O55" r:id="rId102"/>
    <hyperlink ref="O90" r:id="rId103"/>
    <hyperlink ref="O112" r:id="rId104"/>
    <hyperlink ref="O113" r:id="rId105"/>
    <hyperlink ref="O124" r:id="rId106"/>
    <hyperlink ref="O51" r:id="rId107"/>
    <hyperlink ref="O31" r:id="rId108"/>
    <hyperlink ref="O103" r:id="rId109"/>
    <hyperlink ref="O104" r:id="rId110"/>
    <hyperlink ref="O120" r:id="rId111"/>
    <hyperlink ref="O58" r:id="rId112"/>
    <hyperlink ref="O64" r:id="rId113"/>
    <hyperlink ref="O110" r:id="rId114"/>
    <hyperlink ref="O127" r:id="rId115"/>
  </hyperlinks>
  <pageMargins left="0.7" right="0.7" top="0.75" bottom="0.75" header="0.3" footer="0.3"/>
  <drawing r:id="rId1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2023-07-07T11:59:38Z</dcterms:modified>
</cp:coreProperties>
</file>